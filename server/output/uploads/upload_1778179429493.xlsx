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gacardol\Downloads\"/>
    </mc:Choice>
  </mc:AlternateContent>
  <xr:revisionPtr revIDLastSave="0" documentId="8_{BF6FDE62-8238-4889-9E08-661C800345DC}" xr6:coauthVersionLast="47" xr6:coauthVersionMax="47" xr10:uidLastSave="{00000000-0000-0000-0000-000000000000}"/>
  <bookViews>
    <workbookView xWindow="-103" yWindow="-103" windowWidth="16663" windowHeight="9772" activeTab="2" xr2:uid="{00000000-000D-0000-FFFF-FFFF00000000}"/>
  </bookViews>
  <sheets>
    <sheet name="Ajuda" sheetId="1" r:id="rId1"/>
    <sheet name="hidden" sheetId="2" state="veryHidden" r:id="rId2"/>
    <sheet name="Shorts e bermudas" sheetId="3" r:id="rId3"/>
    <sheet name="Veiculos em miniatura" sheetId="4" r:id="rId4"/>
    <sheet name="Animais e bolas pula pula" sheetId="5" r:id="rId5"/>
    <sheet name="Veiculos de brinquedo sem co..." sheetId="6" r:id="rId6"/>
    <sheet name="Churrasqueiras eletricas" sheetId="7" r:id="rId7"/>
    <sheet name="Ventiladores" sheetId="8" r:id="rId8"/>
    <sheet name="Lanternas" sheetId="9" r:id="rId9"/>
    <sheet name="Pipoqueiras eletricas" sheetId="10" r:id="rId10"/>
    <sheet name="Pop its" sheetId="11" r:id="rId11"/>
    <sheet name="Baterias musicais de brinquedo" sheetId="12" r:id="rId12"/>
    <sheet name="Camisetas" sheetId="13" r:id="rId13"/>
    <sheet name="Varais" sheetId="14" r:id="rId14"/>
    <sheet name="Marmitas eletricas" sheetId="15" r:id="rId15"/>
    <sheet name="Shorts y bermudas esportivas" sheetId="16" r:id="rId16"/>
    <sheet name="Aspiradores e limpadores a v..." sheetId="17" r:id="rId17"/>
    <sheet name="Produtos"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6" i="18" l="1"/>
  <c r="AA25" i="18"/>
  <c r="AA11" i="18"/>
  <c r="AA24" i="18"/>
  <c r="AA10" i="18"/>
  <c r="AA23" i="18"/>
  <c r="AA9" i="18"/>
  <c r="AA22" i="18"/>
  <c r="AA8" i="18"/>
  <c r="AA21" i="18"/>
  <c r="AA7" i="18"/>
  <c r="AA20" i="18"/>
  <c r="AA6" i="18"/>
  <c r="AA19" i="18"/>
  <c r="AA5" i="18"/>
  <c r="AA18" i="18"/>
  <c r="AA4" i="18"/>
  <c r="AA17" i="18"/>
  <c r="AA3" i="18"/>
  <c r="AA16" i="18"/>
  <c r="AA2" i="18"/>
  <c r="AA15" i="18"/>
  <c r="AA14" i="18"/>
  <c r="AA13" i="18"/>
  <c r="AA12" i="18"/>
</calcChain>
</file>

<file path=xl/sharedStrings.xml><?xml version="1.0" encoding="utf-8"?>
<sst xmlns="http://schemas.openxmlformats.org/spreadsheetml/2006/main" count="2861" uniqueCount="965">
  <si>
    <t>Modifique seus anúncios</t>
  </si>
  <si>
    <t>Modifique os dados dos seus produtos muito mais rápido.</t>
  </si>
  <si>
    <t>Ver anuncios</t>
  </si>
  <si>
    <t>Já preencheu os dados?</t>
  </si>
  <si>
    <t xml:space="preserve">Ao terminar, lembre-se de salvar e </t>
  </si>
  <si>
    <t>Importante...</t>
  </si>
  <si>
    <t>Basta alterar ou editar as células que estejam com fundo branco.</t>
  </si>
  <si>
    <t>A partir deste arquivo em Excel, não é possível incluir ou excluir anúncios nem imagens do produto.</t>
  </si>
  <si>
    <t>Lembre-se de manter a ordem das colunas para que possamos identificar o que você preencheu.</t>
  </si>
  <si>
    <t>O que cada cor significa nas células?</t>
  </si>
  <si>
    <t>São as que você pode preencher.</t>
  </si>
  <si>
    <t>Você não pode alterá-las.</t>
  </si>
  <si>
    <t>Variável</t>
  </si>
  <si>
    <t>Você não pode modificá-las.</t>
  </si>
  <si>
    <t>Enviar a planilha Excel</t>
  </si>
  <si>
    <t>Faça isso antes de 15 de Abril</t>
  </si>
  <si>
    <t>Como usar estas colunas?</t>
  </si>
  <si>
    <t>Estas são as colunas que estão agrupadas. Você pode expandi-las pressionando o sinal de [+] ou recolhê-las pressionado o sinal de [-] na parte superior.</t>
  </si>
  <si>
    <t>Título do produto</t>
  </si>
  <si>
    <t>3cfcd789-2ef7-4427-8889-b8c6ab281b14</t>
  </si>
  <si>
    <t>(2)</t>
  </si>
  <si>
    <t>Shorts e bermudas</t>
  </si>
  <si>
    <t>(1)</t>
  </si>
  <si>
    <t>Veiculos em miniatura</t>
  </si>
  <si>
    <t>Animais e bolas pula pula</t>
  </si>
  <si>
    <t>(3)</t>
  </si>
  <si>
    <t>Veiculos de brinquedo sem co...</t>
  </si>
  <si>
    <t>Churrasqueiras eletricas</t>
  </si>
  <si>
    <t>(4)</t>
  </si>
  <si>
    <t>Ventiladores</t>
  </si>
  <si>
    <t>Lanternas</t>
  </si>
  <si>
    <t>Pipoqueiras eletricas</t>
  </si>
  <si>
    <t>Pop its</t>
  </si>
  <si>
    <t>Baterias musicais de brinquedo</t>
  </si>
  <si>
    <t>Camisetas</t>
  </si>
  <si>
    <t>Varais</t>
  </si>
  <si>
    <t>Marmitas eletricas</t>
  </si>
  <si>
    <t>Shorts y bermudas esportivas</t>
  </si>
  <si>
    <t>Aspiradores e limpadores a v...</t>
  </si>
  <si>
    <t>FAMILY_ID</t>
  </si>
  <si>
    <t>ID</t>
  </si>
  <si>
    <t>PRODUCT_NUMBER</t>
  </si>
  <si>
    <t>SKU</t>
  </si>
  <si>
    <t>VARIATION_ID</t>
  </si>
  <si>
    <t>DOMAIN_ID</t>
  </si>
  <si>
    <t>CATEGORY_ID</t>
  </si>
  <si>
    <t>PARENT_CATEGORY_ID</t>
  </si>
  <si>
    <t>TITLE</t>
  </si>
  <si>
    <t>COLOR_VARIATION-COLUMN</t>
  </si>
  <si>
    <t>SIZE_VARIATION-COLUMN</t>
  </si>
  <si>
    <t>MAIN_COLOR</t>
  </si>
  <si>
    <t>GTIN</t>
  </si>
  <si>
    <t>BRAND</t>
  </si>
  <si>
    <t>MODEL</t>
  </si>
  <si>
    <t>GENDER</t>
  </si>
  <si>
    <t>SHORT_TYPE</t>
  </si>
  <si>
    <t>SHORT_RISE</t>
  </si>
  <si>
    <t>WEDGE_SHAPE</t>
  </si>
  <si>
    <t>MAIN_MATERIAL</t>
  </si>
  <si>
    <t>COMPOSITION</t>
  </si>
  <si>
    <t>RELEASE_SEASON</t>
  </si>
  <si>
    <t>RELEASE_YEAR</t>
  </si>
  <si>
    <t>IS_SUITABLE_FOR_MATERNITY</t>
  </si>
  <si>
    <t>WITH_RECYCLED_MATERIALS</t>
  </si>
  <si>
    <t>FIXED</t>
  </si>
  <si>
    <t>VARIATION</t>
  </si>
  <si>
    <t>ATTRIBUTE</t>
  </si>
  <si>
    <t>Shorts e bermudas
(*) Campos obrigatórios</t>
  </si>
  <si>
    <t>Características do produto</t>
  </si>
  <si>
    <t>Agrupador de variações</t>
  </si>
  <si>
    <t>Código do anúncio</t>
  </si>
  <si>
    <t>Número do produto</t>
  </si>
  <si>
    <t>Variação ID</t>
  </si>
  <si>
    <t>Domínio</t>
  </si>
  <si>
    <t>Categoria</t>
  </si>
  <si>
    <t>Categoria CBT</t>
  </si>
  <si>
    <t>Título</t>
  </si>
  <si>
    <t>Cor</t>
  </si>
  <si>
    <t>Tamanho</t>
  </si>
  <si>
    <t>Cor principal</t>
  </si>
  <si>
    <t>Código universal de produto</t>
  </si>
  <si>
    <t>Marca</t>
  </si>
  <si>
    <t>Modelo</t>
  </si>
  <si>
    <t>Gênero</t>
  </si>
  <si>
    <t>Tipo de short</t>
  </si>
  <si>
    <t>Cintura do short</t>
  </si>
  <si>
    <t>Forma de caimento</t>
  </si>
  <si>
    <t>Material principal</t>
  </si>
  <si>
    <t>Composição</t>
  </si>
  <si>
    <t>Temporada de lançamento</t>
  </si>
  <si>
    <t>Ano de lançamento</t>
  </si>
  <si>
    <t>É apto para grávidas</t>
  </si>
  <si>
    <t>Com materiais reciclados</t>
  </si>
  <si>
    <t>1464745087354199</t>
  </si>
  <si>
    <t>MLB4498440117</t>
  </si>
  <si>
    <t>U3821027788</t>
  </si>
  <si>
    <t>GLINHO-BR</t>
  </si>
  <si>
    <t>MLB-SHORTS</t>
  </si>
  <si>
    <t>MLB188064</t>
  </si>
  <si>
    <t/>
  </si>
  <si>
    <t>Short Linho Premium Leve Moda Masculino Bermuda Casual Verão</t>
  </si>
  <si>
    <t>Branco</t>
  </si>
  <si>
    <t>G</t>
  </si>
  <si>
    <t>Outro motivo</t>
  </si>
  <si>
    <t>Bride Oficial</t>
  </si>
  <si>
    <t>Abercrombie &amp; Fitch</t>
  </si>
  <si>
    <t>Airborn</t>
  </si>
  <si>
    <t>Amaro</t>
  </si>
  <si>
    <t>American Eagle</t>
  </si>
  <si>
    <t>Aéropostale</t>
  </si>
  <si>
    <t>Billabong</t>
  </si>
  <si>
    <t>Calvin Klein</t>
  </si>
  <si>
    <t>Camisaria Colombo</t>
  </si>
  <si>
    <t>Carmim</t>
  </si>
  <si>
    <t>Carter's</t>
  </si>
  <si>
    <t>Colcci</t>
  </si>
  <si>
    <t>Complot</t>
  </si>
  <si>
    <t>DC Shoes</t>
  </si>
  <si>
    <t>Daniel Hechter</t>
  </si>
  <si>
    <t>Denuncia</t>
  </si>
  <si>
    <t>Destroyed</t>
  </si>
  <si>
    <t>Ellus</t>
  </si>
  <si>
    <t>Eventual</t>
  </si>
  <si>
    <t>Farm</t>
  </si>
  <si>
    <t>Forever 21</t>
  </si>
  <si>
    <t>Forum</t>
  </si>
  <si>
    <t>Fox Head</t>
  </si>
  <si>
    <t>GAP</t>
  </si>
  <si>
    <t>Gola</t>
  </si>
  <si>
    <t>H&amp;M</t>
  </si>
  <si>
    <t>Hang Loose</t>
  </si>
  <si>
    <t>Hering</t>
  </si>
  <si>
    <t>Hollister</t>
  </si>
  <si>
    <t>Hurley</t>
  </si>
  <si>
    <t>Kevingston</t>
  </si>
  <si>
    <t>Khelf</t>
  </si>
  <si>
    <t>Koral</t>
  </si>
  <si>
    <t>Lança Perfume</t>
  </si>
  <si>
    <t>Levi's</t>
  </si>
  <si>
    <t>Lilica Ripilica</t>
  </si>
  <si>
    <t>M. Officer</t>
  </si>
  <si>
    <t>Mango</t>
  </si>
  <si>
    <t>Marcia Mello</t>
  </si>
  <si>
    <t>Marisol</t>
  </si>
  <si>
    <t>Mash</t>
  </si>
  <si>
    <t>Mercatto</t>
  </si>
  <si>
    <t>Mizuno</t>
  </si>
  <si>
    <t>Morena Rosa</t>
  </si>
  <si>
    <t>Mormaii</t>
  </si>
  <si>
    <t>NicoBoco</t>
  </si>
  <si>
    <t>Nike</t>
  </si>
  <si>
    <t>O'Neill</t>
  </si>
  <si>
    <t>Oakley</t>
  </si>
  <si>
    <t>Old Navy</t>
  </si>
  <si>
    <t>Osklen</t>
  </si>
  <si>
    <t>Osmoze</t>
  </si>
  <si>
    <t>Pit Bull</t>
  </si>
  <si>
    <t>Planet Girls</t>
  </si>
  <si>
    <t>Puma</t>
  </si>
  <si>
    <t>Quiksilver</t>
  </si>
  <si>
    <t>Ralph Lauren</t>
  </si>
  <si>
    <t>Redley</t>
  </si>
  <si>
    <t>Reebok</t>
  </si>
  <si>
    <t>Reef</t>
  </si>
  <si>
    <t>Reserva</t>
  </si>
  <si>
    <t>Revanche</t>
  </si>
  <si>
    <t>Rip Curl</t>
  </si>
  <si>
    <t>Roxy</t>
  </si>
  <si>
    <t>Rusty</t>
  </si>
  <si>
    <t>Sawary</t>
  </si>
  <si>
    <t>Sergio K.</t>
  </si>
  <si>
    <t>Tigor T. Tigre</t>
  </si>
  <si>
    <t>Tommy Hilfiger</t>
  </si>
  <si>
    <t>Topper</t>
  </si>
  <si>
    <t>UFO</t>
  </si>
  <si>
    <t>Venum</t>
  </si>
  <si>
    <t>Volcom</t>
  </si>
  <si>
    <t>Zara</t>
  </si>
  <si>
    <t>adidas</t>
  </si>
  <si>
    <t>Mauricinho Ano Novo Slim Ajustável Cordão Tecido Respirável Lazer Dia a Dia Viagem Chique Rico Confortável</t>
  </si>
  <si>
    <t>Masculino</t>
  </si>
  <si>
    <t>Bermuda</t>
  </si>
  <si>
    <t>Média</t>
  </si>
  <si>
    <t>Reta</t>
  </si>
  <si>
    <t>Algodão</t>
  </si>
  <si>
    <t>37% poliéster,63% algodão</t>
  </si>
  <si>
    <t>Primavera/Verão</t>
  </si>
  <si>
    <t>2026</t>
  </si>
  <si>
    <t>Não</t>
  </si>
  <si>
    <t>5286759800217073</t>
  </si>
  <si>
    <t>MLB6302444594</t>
  </si>
  <si>
    <t>U3818007074</t>
  </si>
  <si>
    <t>M3LINHO-BBP</t>
  </si>
  <si>
    <t>Kit 3 Short Linho Premium Masculino Bermuda Casual Verão</t>
  </si>
  <si>
    <t>Preto Bege Branco</t>
  </si>
  <si>
    <t>M</t>
  </si>
  <si>
    <t>Multicolorido</t>
  </si>
  <si>
    <t>Mauricinho Leve Praia Ano Novo Slim Ajustável Cordão Tecido Respirável Lazer Dia a Dia Viagem Chique Rico Confortável</t>
  </si>
  <si>
    <t>VEHICLE_SERIE</t>
  </si>
  <si>
    <t>VEHICLE_RELEASE_YEAR</t>
  </si>
  <si>
    <t>SCALE</t>
  </si>
  <si>
    <t>VEHICLE_MODEL</t>
  </si>
  <si>
    <t>VEHICLE_BRAND</t>
  </si>
  <si>
    <t>SALE_FORMAT</t>
  </si>
  <si>
    <t>UNITS_PER_PACK</t>
  </si>
  <si>
    <t>INMETRO_CERTIFICATION_REGISTRATION_NUMBER</t>
  </si>
  <si>
    <t>BODYWORK_MATERIAL</t>
  </si>
  <si>
    <t>WITH_OPENING_DOORS</t>
  </si>
  <si>
    <t>MIN_RECOMMENDED_AGE</t>
  </si>
  <si>
    <t>MIN_RECOMMENDED_AGE_UNIT</t>
  </si>
  <si>
    <t>VEHICLE_TYPE</t>
  </si>
  <si>
    <t>IS_COLLECTIBLE</t>
  </si>
  <si>
    <t>ATTRIBUTE_UNIT</t>
  </si>
  <si>
    <t>Veiculos em miniatura
(*) Campos obrigatórios</t>
  </si>
  <si>
    <t>Série do veículo</t>
  </si>
  <si>
    <t>Ano de lançamento do veículo</t>
  </si>
  <si>
    <t>Escala</t>
  </si>
  <si>
    <t>Modelo do veículo</t>
  </si>
  <si>
    <t>Marca do veículo</t>
  </si>
  <si>
    <t>Formato de venda</t>
  </si>
  <si>
    <t>Unidades por kit</t>
  </si>
  <si>
    <t>Número de registro/certificação INMETRO</t>
  </si>
  <si>
    <t>Material da carroceria</t>
  </si>
  <si>
    <t>Com abertura de portas</t>
  </si>
  <si>
    <t>Idade mínima recomendada</t>
  </si>
  <si>
    <t>Unidade de Idade mínima recomendada</t>
  </si>
  <si>
    <t>Tipo de veículo</t>
  </si>
  <si>
    <t>É colecionável</t>
  </si>
  <si>
    <t>7616126911744272</t>
  </si>
  <si>
    <t>MLB4580544673</t>
  </si>
  <si>
    <t>U3884962262</t>
  </si>
  <si>
    <t>SCANIA-LR</t>
  </si>
  <si>
    <t>MLB-DIECAST_VEHICLES</t>
  </si>
  <si>
    <t>MLB2097</t>
  </si>
  <si>
    <t>Carrinho De Ferro Caminhão Miniatura Scania Luz Som Fricção</t>
  </si>
  <si>
    <t>Laranja</t>
  </si>
  <si>
    <t>Preto</t>
  </si>
  <si>
    <t>Azul</t>
  </si>
  <si>
    <t>Vermelho</t>
  </si>
  <si>
    <t>Violeta</t>
  </si>
  <si>
    <t>Marrom</t>
  </si>
  <si>
    <t>Verde</t>
  </si>
  <si>
    <t>Azul celeste</t>
  </si>
  <si>
    <t>Rosa</t>
  </si>
  <si>
    <t>Dourado</t>
  </si>
  <si>
    <t>Prateado</t>
  </si>
  <si>
    <t>Amarelo</t>
  </si>
  <si>
    <t>Cinza</t>
  </si>
  <si>
    <t>Azul-aço</t>
  </si>
  <si>
    <t>Azul-claro</t>
  </si>
  <si>
    <t>Azul-escuro</t>
  </si>
  <si>
    <t>Azul-marinho</t>
  </si>
  <si>
    <t>Azul-petróleo</t>
  </si>
  <si>
    <t>Bordô</t>
  </si>
  <si>
    <t>Coral</t>
  </si>
  <si>
    <t>Coral-claro</t>
  </si>
  <si>
    <t>Coral-escuro</t>
  </si>
  <si>
    <t>Terracota</t>
  </si>
  <si>
    <t>Lavanda</t>
  </si>
  <si>
    <t>Lilás</t>
  </si>
  <si>
    <t>Violeta-claro</t>
  </si>
  <si>
    <t>Violeta-escuro</t>
  </si>
  <si>
    <t>Índigo</t>
  </si>
  <si>
    <t>Bege</t>
  </si>
  <si>
    <t>Chocolate</t>
  </si>
  <si>
    <t>Marrom-claro</t>
  </si>
  <si>
    <t>Marrom-escuro</t>
  </si>
  <si>
    <t>Palha</t>
  </si>
  <si>
    <t>Verde-claro</t>
  </si>
  <si>
    <t>Verde-escuro</t>
  </si>
  <si>
    <t>Verde-limão</t>
  </si>
  <si>
    <t>Verde-musgo</t>
  </si>
  <si>
    <t>Laranja-claro</t>
  </si>
  <si>
    <t>Laranja-escuro</t>
  </si>
  <si>
    <t>Nude</t>
  </si>
  <si>
    <t>Azul-turquesa</t>
  </si>
  <si>
    <t>Ciano</t>
  </si>
  <si>
    <t>Água</t>
  </si>
  <si>
    <t>Fúcsia</t>
  </si>
  <si>
    <t>Rosa-chiclete</t>
  </si>
  <si>
    <t>Rosa-claro</t>
  </si>
  <si>
    <t>Rosa-escuro</t>
  </si>
  <si>
    <t>Dourado-claro</t>
  </si>
  <si>
    <t>Dourado-escuro</t>
  </si>
  <si>
    <t>Creme</t>
  </si>
  <si>
    <t>Cáqui</t>
  </si>
  <si>
    <t>Ocre</t>
  </si>
  <si>
    <t>Cinza-claro</t>
  </si>
  <si>
    <t>Cinza-escuro</t>
  </si>
  <si>
    <t>7891285474852</t>
  </si>
  <si>
    <t>Veiculos de Brinquedo,carro brinquedo,carrinhos de brinquedo,carrinho,controle remoto,miniaturas,brinquedo infantil,trator de brinquedo,trator brinquedo,Veículos em Miniatura</t>
  </si>
  <si>
    <t>AUTOart</t>
  </si>
  <si>
    <t>Anson</t>
  </si>
  <si>
    <t>Bburago</t>
  </si>
  <si>
    <t>Brumm</t>
  </si>
  <si>
    <t>Buby</t>
  </si>
  <si>
    <t>Cararama</t>
  </si>
  <si>
    <t>Close Slot</t>
  </si>
  <si>
    <t>Corgi</t>
  </si>
  <si>
    <t>Disney</t>
  </si>
  <si>
    <t>ERTL</t>
  </si>
  <si>
    <t>Galgo</t>
  </si>
  <si>
    <t>Gorgo</t>
  </si>
  <si>
    <t>Greenlight</t>
  </si>
  <si>
    <t>Herpa</t>
  </si>
  <si>
    <t>Hongwell</t>
  </si>
  <si>
    <t>Hot Wheels</t>
  </si>
  <si>
    <t>IXO</t>
  </si>
  <si>
    <t>JET</t>
  </si>
  <si>
    <t>Jada</t>
  </si>
  <si>
    <t>Johnny Lightning</t>
  </si>
  <si>
    <t>JoyRide</t>
  </si>
  <si>
    <t>Kinsmart</t>
  </si>
  <si>
    <t>M2 Machines</t>
  </si>
  <si>
    <t>Maisto</t>
  </si>
  <si>
    <t>Majorette</t>
  </si>
  <si>
    <t>Malibu</t>
  </si>
  <si>
    <t>Matchbox</t>
  </si>
  <si>
    <t>Minichamps</t>
  </si>
  <si>
    <t>Muky</t>
  </si>
  <si>
    <t>Muscle Machines</t>
  </si>
  <si>
    <t>New-Ray</t>
  </si>
  <si>
    <t>Norev</t>
  </si>
  <si>
    <t>Norscot</t>
  </si>
  <si>
    <t>Onyx</t>
  </si>
  <si>
    <t>Racing Champions</t>
  </si>
  <si>
    <t>Revell</t>
  </si>
  <si>
    <t>Road Signature</t>
  </si>
  <si>
    <t>Saico</t>
  </si>
  <si>
    <t>Schuco</t>
  </si>
  <si>
    <t>Signature Models</t>
  </si>
  <si>
    <t>Siku</t>
  </si>
  <si>
    <t>Solido</t>
  </si>
  <si>
    <t>Sun Star</t>
  </si>
  <si>
    <t>Sunnyside</t>
  </si>
  <si>
    <t>Tomica</t>
  </si>
  <si>
    <t>UT</t>
  </si>
  <si>
    <t>Universal Hobbies</t>
  </si>
  <si>
    <t>Vanguards</t>
  </si>
  <si>
    <t>Vitesse</t>
  </si>
  <si>
    <t>Welly</t>
  </si>
  <si>
    <t>Yat Ming</t>
  </si>
  <si>
    <t>Carro/Camioneta</t>
  </si>
  <si>
    <t>1:42</t>
  </si>
  <si>
    <t>1/42 Trucado Pneu Borracha 4 Cores Colecionável</t>
  </si>
  <si>
    <t>Scania</t>
  </si>
  <si>
    <t>Unidade</t>
  </si>
  <si>
    <t>1</t>
  </si>
  <si>
    <t>Ferro</t>
  </si>
  <si>
    <t>Carro/Caminhonete</t>
  </si>
  <si>
    <t>Sim</t>
  </si>
  <si>
    <t>ANIMAL_AND_BALL_HOPPER_SHAPE</t>
  </si>
  <si>
    <t>PATTERN_NAME</t>
  </si>
  <si>
    <t>LENGTH</t>
  </si>
  <si>
    <t>LENGTH_UNIT</t>
  </si>
  <si>
    <t>WIDTH</t>
  </si>
  <si>
    <t>WIDTH_UNIT</t>
  </si>
  <si>
    <t>MAX_WEIGHT_SUPPORTED</t>
  </si>
  <si>
    <t>MAX_WEIGHT_SUPPORTED_UNIT</t>
  </si>
  <si>
    <t>MAX_RECOMMENDED_AGE</t>
  </si>
  <si>
    <t>MAX_RECOMMENDED_AGE_UNIT</t>
  </si>
  <si>
    <t>MATERIAL</t>
  </si>
  <si>
    <t>DIAMETER</t>
  </si>
  <si>
    <t>DIAMETER_UNIT</t>
  </si>
  <si>
    <t>RECOMMENDED_AGE_GROUP</t>
  </si>
  <si>
    <t>Animais e bolas pula pula
(*) Campos obrigatórios</t>
  </si>
  <si>
    <t>Forma</t>
  </si>
  <si>
    <t>Nome do desenho</t>
  </si>
  <si>
    <t>Comprimento</t>
  </si>
  <si>
    <t>Unidade de Comprimento</t>
  </si>
  <si>
    <t>Largura</t>
  </si>
  <si>
    <t>Unidade de Largura</t>
  </si>
  <si>
    <t>Peso máximo suportado</t>
  </si>
  <si>
    <t>Unidade de Peso máximo suportado</t>
  </si>
  <si>
    <t>Idade máxima recomendada</t>
  </si>
  <si>
    <t>Unidade de Idade máxima recomendada</t>
  </si>
  <si>
    <t>Material</t>
  </si>
  <si>
    <t>Diâmetro</t>
  </si>
  <si>
    <t>Unidade de Diâmetro</t>
  </si>
  <si>
    <t>Idade recomendada</t>
  </si>
  <si>
    <t>3205209767694738</t>
  </si>
  <si>
    <t>MLB6460326498</t>
  </si>
  <si>
    <t>U3849351830</t>
  </si>
  <si>
    <t>CAVALO-AZ</t>
  </si>
  <si>
    <t>MLB-ANIMAL_AND_BALL_HOPPERS</t>
  </si>
  <si>
    <t>MLB270537</t>
  </si>
  <si>
    <t>Cavalo Pula Pula De Borracha Musical Com Luzes Para Crianças Azul</t>
  </si>
  <si>
    <t>Digite o código</t>
  </si>
  <si>
    <t>Vai de Tech</t>
  </si>
  <si>
    <t>Upa Pula Cavalinho</t>
  </si>
  <si>
    <t>Cavalo</t>
  </si>
  <si>
    <t>Animal</t>
  </si>
  <si>
    <t>57</t>
  </si>
  <si>
    <t>cm</t>
  </si>
  <si>
    <t>24</t>
  </si>
  <si>
    <t>54</t>
  </si>
  <si>
    <t>kg</t>
  </si>
  <si>
    <t>anos</t>
  </si>
  <si>
    <t>7</t>
  </si>
  <si>
    <t>Borracha</t>
  </si>
  <si>
    <t>20</t>
  </si>
  <si>
    <t>2-4 anos</t>
  </si>
  <si>
    <t>4514025832288309</t>
  </si>
  <si>
    <t>MLB6228080232</t>
  </si>
  <si>
    <t>U3781044558</t>
  </si>
  <si>
    <t>Cavalinho Upa Upa Brinquedo Pula Pula Musical Selo Cor Azul</t>
  </si>
  <si>
    <t>789888147006</t>
  </si>
  <si>
    <t>Sophia Mundo Encantado</t>
  </si>
  <si>
    <t>Cavalinho Upa Upa</t>
  </si>
  <si>
    <t>56</t>
  </si>
  <si>
    <t>60</t>
  </si>
  <si>
    <t>2</t>
  </si>
  <si>
    <t>10</t>
  </si>
  <si>
    <t>UNITS_PER_PACKAGE</t>
  </si>
  <si>
    <t>MATERIALS</t>
  </si>
  <si>
    <t>HEIGHT</t>
  </si>
  <si>
    <t>HEIGHT_UNIT</t>
  </si>
  <si>
    <t>WEIGHT</t>
  </si>
  <si>
    <t>WEIGHT_UNIT</t>
  </si>
  <si>
    <t>WITH_LIGHTS</t>
  </si>
  <si>
    <t>WITH_SOUND</t>
  </si>
  <si>
    <t>REQUIRES_CELL_BATTERIES</t>
  </si>
  <si>
    <t>VEHICLE_CLASSIFICATION</t>
  </si>
  <si>
    <t>Veiculos de brinquedo sem co...
(*) Campos obrigatórios</t>
  </si>
  <si>
    <t>Unidades por embalagem</t>
  </si>
  <si>
    <t>Materiais</t>
  </si>
  <si>
    <t>Altura</t>
  </si>
  <si>
    <t>Unidade de Altura</t>
  </si>
  <si>
    <t>Peso</t>
  </si>
  <si>
    <t>Unidade de Peso</t>
  </si>
  <si>
    <t>Com luzes</t>
  </si>
  <si>
    <t>Com som</t>
  </si>
  <si>
    <t>Requer pilhas</t>
  </si>
  <si>
    <t>Classificação do veículo</t>
  </si>
  <si>
    <t>296473936575739</t>
  </si>
  <si>
    <t>MLB4398287021</t>
  </si>
  <si>
    <t>U3701448027</t>
  </si>
  <si>
    <t>AVIAO</t>
  </si>
  <si>
    <t>MLB-NON_REMOTE_CONTROL_TOY_VEHICLES</t>
  </si>
  <si>
    <t>MLB433685</t>
  </si>
  <si>
    <t>Olhei Comprei A380 Jumbo Airbus Grande Avião De Brinquedo Co</t>
  </si>
  <si>
    <t>Aviao Brinquedo Branco</t>
  </si>
  <si>
    <t>7891827464006</t>
  </si>
  <si>
    <t>Olhei Comprei</t>
  </si>
  <si>
    <t>A380 Jumbo Airbus</t>
  </si>
  <si>
    <t>Plástico</t>
  </si>
  <si>
    <t>37</t>
  </si>
  <si>
    <t>40</t>
  </si>
  <si>
    <t>250</t>
  </si>
  <si>
    <t>g</t>
  </si>
  <si>
    <t>3</t>
  </si>
  <si>
    <t>200</t>
  </si>
  <si>
    <t>5-7 anos</t>
  </si>
  <si>
    <t>7150119617797736</t>
  </si>
  <si>
    <t>MLB6228079060</t>
  </si>
  <si>
    <t>U3781018702</t>
  </si>
  <si>
    <t>TRANSPOLI-MZ1238</t>
  </si>
  <si>
    <t>Brinquedo Infantil Carrinho Luz E Som Polícia Que Vira Robô Cor Preto Personagem Super Robô Veloz</t>
  </si>
  <si>
    <t>O produto é um kit ou pack</t>
  </si>
  <si>
    <t>Toy King</t>
  </si>
  <si>
    <t>Carro de Polícia Robô</t>
  </si>
  <si>
    <t>22</t>
  </si>
  <si>
    <t>14</t>
  </si>
  <si>
    <t>300</t>
  </si>
  <si>
    <t>99</t>
  </si>
  <si>
    <t>MLB4398416111</t>
  </si>
  <si>
    <t>Olhei Comprei A380 Jumbo Airbus Grande Avião De Brinquedo Cor Branco Movido A Fricção Com Luz E Som Avião Brinquedo H620 Aviao Brinquedo Branco</t>
  </si>
  <si>
    <t>DETAILED_MODEL</t>
  </si>
  <si>
    <t>POWER</t>
  </si>
  <si>
    <t>POWER_UNIT</t>
  </si>
  <si>
    <t>LINE</t>
  </si>
  <si>
    <t>WITH_LID</t>
  </si>
  <si>
    <t>WITH_TEMPERATURE_GAUGE</t>
  </si>
  <si>
    <t>TEMPERATURE_LEVELS_NUMBER</t>
  </si>
  <si>
    <t>GRILL_WIDTH</t>
  </si>
  <si>
    <t>GRILL_WIDTH_UNIT</t>
  </si>
  <si>
    <t>GRILL_HEIGHT</t>
  </si>
  <si>
    <t>GRILL_HEIGHT_UNIT</t>
  </si>
  <si>
    <t>GRILL_DEPTH</t>
  </si>
  <si>
    <t>GRILL_DEPTH_UNIT</t>
  </si>
  <si>
    <t>Churrasqueiras eletricas
(*) Campos obrigatórios</t>
  </si>
  <si>
    <t>Modelo detalhado</t>
  </si>
  <si>
    <t>Potência</t>
  </si>
  <si>
    <t>Unidade de Potência</t>
  </si>
  <si>
    <t>Linha</t>
  </si>
  <si>
    <t>Com tampa</t>
  </si>
  <si>
    <t>Com medidor de temperatura</t>
  </si>
  <si>
    <t>Quantidade de níveis de temperatura</t>
  </si>
  <si>
    <t>Largura da churrasqueira</t>
  </si>
  <si>
    <t>Unidade de Largura da churrasqueira</t>
  </si>
  <si>
    <t>Altura da churrasqueira</t>
  </si>
  <si>
    <t>Unidade de Altura da churrasqueira</t>
  </si>
  <si>
    <t>Profundidade da churrasqueira</t>
  </si>
  <si>
    <t>Unidade de Profundidade da churrasqueira</t>
  </si>
  <si>
    <t>6239784649395940</t>
  </si>
  <si>
    <t>MLB4479173631</t>
  </si>
  <si>
    <t>U3805099604</t>
  </si>
  <si>
    <t>CHURRAS-220V</t>
  </si>
  <si>
    <t>MLB-ELECTRIC_GRILLS</t>
  </si>
  <si>
    <t>MLB48730</t>
  </si>
  <si>
    <t>Churrasqueira Sem Fumaça Elétrica Grelhador Grelha Churrasco</t>
  </si>
  <si>
    <t>Bak</t>
  </si>
  <si>
    <t>Elétrica</t>
  </si>
  <si>
    <t>bbq 127</t>
  </si>
  <si>
    <t>5</t>
  </si>
  <si>
    <t>"</t>
  </si>
  <si>
    <t>m</t>
  </si>
  <si>
    <t>mm</t>
  </si>
  <si>
    <t>MLB4479070021</t>
  </si>
  <si>
    <t>Churrasqueira Sem Fumaça Elétrica Grelhador Grelha Churrasco Cor Preto 220v</t>
  </si>
  <si>
    <t>Com grelha</t>
  </si>
  <si>
    <t>kW</t>
  </si>
  <si>
    <t>48</t>
  </si>
  <si>
    <t>30</t>
  </si>
  <si>
    <t>FAN_TYPE</t>
  </si>
  <si>
    <t>MANUFACTURER</t>
  </si>
  <si>
    <t>DEPTH</t>
  </si>
  <si>
    <t>DEPTH_UNIT</t>
  </si>
  <si>
    <t>NOISE_LEVEL</t>
  </si>
  <si>
    <t>NOISE_LEVEL_UNIT</t>
  </si>
  <si>
    <t>POWER_SUPPLY_TYPE</t>
  </si>
  <si>
    <t>ENERGY_EFFICIENCY_BRASIL</t>
  </si>
  <si>
    <t>GRID_MATERIAL</t>
  </si>
  <si>
    <t>SPEEDS_NUMBER</t>
  </si>
  <si>
    <t>INCLUDES_REMOTE_CONTROL</t>
  </si>
  <si>
    <t>WITH_LIGHT</t>
  </si>
  <si>
    <t>WITH_TURBO_FUNCTION</t>
  </si>
  <si>
    <t>WITH_REVERSIBLE_BLADES</t>
  </si>
  <si>
    <t>Ventiladores
(*) Campos obrigatórios</t>
  </si>
  <si>
    <t>Tipo de ventilador</t>
  </si>
  <si>
    <t>Fabricante</t>
  </si>
  <si>
    <t>Profundidade</t>
  </si>
  <si>
    <t>Unidade de Profundidade</t>
  </si>
  <si>
    <t>Nível de ruído</t>
  </si>
  <si>
    <t>Unidade de Nível de ruído</t>
  </si>
  <si>
    <t>Tipo de alimentação</t>
  </si>
  <si>
    <t>Eficiência energética Brasil</t>
  </si>
  <si>
    <t>Material da grade</t>
  </si>
  <si>
    <t>Quantidade de velocidades</t>
  </si>
  <si>
    <t>Inclui controle remoto</t>
  </si>
  <si>
    <t>Com luz</t>
  </si>
  <si>
    <t>Com função turbo</t>
  </si>
  <si>
    <t>Com pás reversíveis</t>
  </si>
  <si>
    <t>1800097535595948</t>
  </si>
  <si>
    <t>MLB6253674994</t>
  </si>
  <si>
    <t>U3787155329</t>
  </si>
  <si>
    <t>VETILA-110V</t>
  </si>
  <si>
    <t>MLB-FANS</t>
  </si>
  <si>
    <t>MLB1645</t>
  </si>
  <si>
    <t>Ventilador Mesa Multi Turbo Silencioso 40cm 6 Pás Chão Mesa</t>
  </si>
  <si>
    <t>ventilador barato, ventilador silencio, ventiladorpe, ventilador elgin, ventilador mesa, ventilador potente, ventilador</t>
  </si>
  <si>
    <t>Tufão Pé Furacão Silencio</t>
  </si>
  <si>
    <t>ventilador potente, ventilador Breeze Air 127v 220v - Ventilado Silencioso, ventilador 40cm, ventilador 7 pas</t>
  </si>
  <si>
    <t>Mesa e Chão</t>
  </si>
  <si>
    <t>Multi</t>
  </si>
  <si>
    <t>ft</t>
  </si>
  <si>
    <t>dB</t>
  </si>
  <si>
    <t>energia</t>
  </si>
  <si>
    <t>Bateria</t>
  </si>
  <si>
    <t>Corrente doméstica</t>
  </si>
  <si>
    <t>Operação manual</t>
  </si>
  <si>
    <t>Pilha</t>
  </si>
  <si>
    <t>Bateria/Corrente doméstica</t>
  </si>
  <si>
    <t>Bateria/Operação manual</t>
  </si>
  <si>
    <t>Bateria/Pilha</t>
  </si>
  <si>
    <t>Corrente doméstica/Operação manual</t>
  </si>
  <si>
    <t>Corrente doméstica/Pilha</t>
  </si>
  <si>
    <t>Operação manual/Pilha</t>
  </si>
  <si>
    <t>Bateria/Corrente doméstica/Operação manual</t>
  </si>
  <si>
    <t>Bateria/Corrente doméstica/Pilha</t>
  </si>
  <si>
    <t>Bateria/Operação manual/Pilha</t>
  </si>
  <si>
    <t>Corrente doméstica/Operação manual/Pilha</t>
  </si>
  <si>
    <t>Bateria/Corrente doméstica/Operação manual/Pilha</t>
  </si>
  <si>
    <t>A</t>
  </si>
  <si>
    <t>MLB6253558380</t>
  </si>
  <si>
    <t>U3787155327</t>
  </si>
  <si>
    <t>VENTILA-220V</t>
  </si>
  <si>
    <t>5241978777825902</t>
  </si>
  <si>
    <t>MLB4479095537</t>
  </si>
  <si>
    <t>U3795396997</t>
  </si>
  <si>
    <t>VENTSOLAR</t>
  </si>
  <si>
    <t>Ventilador Recarregável Placa Solar 9 Veloc Estrutura Branco Pás Branca Diâmetro 18 Frequência 60hz Material Das Pás Plástico Quantidade De Pás 5 45.72 Cm 127/220v</t>
  </si>
  <si>
    <t>Ventilador</t>
  </si>
  <si>
    <t>DUAL FLEX</t>
  </si>
  <si>
    <t>Pedestal</t>
  </si>
  <si>
    <t>45.72</t>
  </si>
  <si>
    <t>5.5</t>
  </si>
  <si>
    <t>Corrente elétrica</t>
  </si>
  <si>
    <t>Metal</t>
  </si>
  <si>
    <t>9</t>
  </si>
  <si>
    <t>MLB4479108681</t>
  </si>
  <si>
    <t>Ventilador Recarregável Placa Solar 9 Veloc Estrutura Branco</t>
  </si>
  <si>
    <t>FLASHLIGHT_TYPE</t>
  </si>
  <si>
    <t>RECOMMENDED_USES</t>
  </si>
  <si>
    <t>CELL_BATTERY_TYPE</t>
  </si>
  <si>
    <t>BATTERY_TYPE</t>
  </si>
  <si>
    <t>LIGHT_TYPE</t>
  </si>
  <si>
    <t>LIGHT_SWITCH_MODES_NUMBER</t>
  </si>
  <si>
    <t>FLASHLIGHT_POWER_IN_LUMENS</t>
  </si>
  <si>
    <t>FLASHLIGHT_POWER_IN_LUMENS_UNIT</t>
  </si>
  <si>
    <t>BEAM_DISTANCE</t>
  </si>
  <si>
    <t>BEAM_DISTANCE_UNIT</t>
  </si>
  <si>
    <t>MAX_RUNTIME</t>
  </si>
  <si>
    <t>MAX_RUNTIME_UNIT</t>
  </si>
  <si>
    <t>INCLUDES_CELL_BATTERIES</t>
  </si>
  <si>
    <t>IS_RECHARGEABLE</t>
  </si>
  <si>
    <t>WITH_USB_CHARGE</t>
  </si>
  <si>
    <t>IS_DUST_RESISTANT</t>
  </si>
  <si>
    <t>IS_WATERPROOF</t>
  </si>
  <si>
    <t>WITH_ZOOM</t>
  </si>
  <si>
    <t>WITH_LASER</t>
  </si>
  <si>
    <t>BATTERY_VOLTAGE</t>
  </si>
  <si>
    <t>Lanternas
(*) Campos obrigatórios</t>
  </si>
  <si>
    <t>Tipo de lanterna</t>
  </si>
  <si>
    <t>Usos recomendados</t>
  </si>
  <si>
    <t>Tipo de pilha</t>
  </si>
  <si>
    <t>Tipo de bateria</t>
  </si>
  <si>
    <t>Tipo de luz</t>
  </si>
  <si>
    <t>Quantidade de modos de mudança de luz</t>
  </si>
  <si>
    <t>Alcance de projeção</t>
  </si>
  <si>
    <t>Unidade de Alcance de projeção</t>
  </si>
  <si>
    <t>Duração máxima</t>
  </si>
  <si>
    <t>Unidade de Duração máxima</t>
  </si>
  <si>
    <t>Inclui pilhas</t>
  </si>
  <si>
    <t>É recarregável</t>
  </si>
  <si>
    <t>Com carga usb</t>
  </si>
  <si>
    <t>É resistente ao pó</t>
  </si>
  <si>
    <t>É à prova d'água</t>
  </si>
  <si>
    <t>Com zoom</t>
  </si>
  <si>
    <t>Com laser</t>
  </si>
  <si>
    <t>Voltagem da bateria</t>
  </si>
  <si>
    <t>5233231571865447</t>
  </si>
  <si>
    <t>MLB4478378519</t>
  </si>
  <si>
    <t>U3803185450</t>
  </si>
  <si>
    <t>x900</t>
  </si>
  <si>
    <t>MLB-FLASHLIGHTS</t>
  </si>
  <si>
    <t>MLB430264</t>
  </si>
  <si>
    <t>Lanterna X-zhang Tática Recarregável X900 Cor Da Lanterna Preto Cor Da Luz Branca Branco</t>
  </si>
  <si>
    <t>XZhang</t>
  </si>
  <si>
    <t>X900</t>
  </si>
  <si>
    <t>Táctica</t>
  </si>
  <si>
    <t>Iluminação</t>
  </si>
  <si>
    <t>AAA</t>
  </si>
  <si>
    <t>Li-ion</t>
  </si>
  <si>
    <t>LED</t>
  </si>
  <si>
    <t>800</t>
  </si>
  <si>
    <t>lm</t>
  </si>
  <si>
    <t>3.5</t>
  </si>
  <si>
    <t>156</t>
  </si>
  <si>
    <t>h</t>
  </si>
  <si>
    <t>3V</t>
  </si>
  <si>
    <t>COOKING_SYSTEM</t>
  </si>
  <si>
    <t>Pipoqueiras eletricas
(*) Campos obrigatórios</t>
  </si>
  <si>
    <t>Sistema de cozedura</t>
  </si>
  <si>
    <t>1904731399723484</t>
  </si>
  <si>
    <t>MLB4473489861</t>
  </si>
  <si>
    <t>U3794753434</t>
  </si>
  <si>
    <t>PIPOQUEIRA220-PT</t>
  </si>
  <si>
    <t>MLB-POPCORN_MACHINES</t>
  </si>
  <si>
    <t>MLB120242</t>
  </si>
  <si>
    <t>Máquina De Pipoca Pipoqueira Elétrica Sem Óleo Quente Preta</t>
  </si>
  <si>
    <t>7898681497041</t>
  </si>
  <si>
    <t>Fexan</t>
  </si>
  <si>
    <t>pipoca</t>
  </si>
  <si>
    <t>SHAPE</t>
  </si>
  <si>
    <t>IS_BPA_FREE</t>
  </si>
  <si>
    <t>Pop its
(*) Campos obrigatórios</t>
  </si>
  <si>
    <t>É livre de bpa</t>
  </si>
  <si>
    <t>5162289362106072</t>
  </si>
  <si>
    <t>MLB6279484634</t>
  </si>
  <si>
    <t>U3796287215</t>
  </si>
  <si>
    <t>4GIRAFA</t>
  </si>
  <si>
    <t>MLB-POP_ITS</t>
  </si>
  <si>
    <t>MLB455836</t>
  </si>
  <si>
    <t>Kit 4 Girafas Estica-tubo Brinquedo Sensorial Luz Led Pop It</t>
  </si>
  <si>
    <t>Aleatório</t>
  </si>
  <si>
    <t>7891354798742</t>
  </si>
  <si>
    <t>Biris e Diris</t>
  </si>
  <si>
    <t>Tubo Estica Gruda Puxa Ventosa</t>
  </si>
  <si>
    <t>Girafa Tubo Brinquedo Infantil</t>
  </si>
  <si>
    <t>MLB6290328282</t>
  </si>
  <si>
    <t>Kit 4 Girafas Estica-tubo Brinquedo Sensorial Luz Led Pop It Aleatório</t>
  </si>
  <si>
    <t>18.5</t>
  </si>
  <si>
    <t>INCLUDES_DRUMSTICKS</t>
  </si>
  <si>
    <t>INCLUDES_THRONE</t>
  </si>
  <si>
    <t>INCLUDES_CYMBALS</t>
  </si>
  <si>
    <t>PIECES_NUMBER</t>
  </si>
  <si>
    <t>Baterias musicais de brinquedo
(*) Campos obrigatórios</t>
  </si>
  <si>
    <t>Inclui baquetas</t>
  </si>
  <si>
    <t>Inclui banco</t>
  </si>
  <si>
    <t>Inclui pratos de percussão</t>
  </si>
  <si>
    <t>Quantidade de peças</t>
  </si>
  <si>
    <t>1443674070596306</t>
  </si>
  <si>
    <t>MLB4486327897</t>
  </si>
  <si>
    <t>U3806143303</t>
  </si>
  <si>
    <t>BATERIA-RX</t>
  </si>
  <si>
    <t>MLB-TOY_DRUMS</t>
  </si>
  <si>
    <t>MLB270112</t>
  </si>
  <si>
    <t>Mini Bateria Infantil Banquinho Brinquedo Com 5 Tambores</t>
  </si>
  <si>
    <t>Roxo Galaxia</t>
  </si>
  <si>
    <t>7891354798797</t>
  </si>
  <si>
    <t>Biris&amp;Diris</t>
  </si>
  <si>
    <t>tambor de simulação bateria infantil instrumento brinquedo</t>
  </si>
  <si>
    <t>62</t>
  </si>
  <si>
    <t>32</t>
  </si>
  <si>
    <t>71</t>
  </si>
  <si>
    <t>1.41</t>
  </si>
  <si>
    <t>FABRIC_DESIGN_VARIATION-COLUMN</t>
  </si>
  <si>
    <t>GARMENT_TYPE</t>
  </si>
  <si>
    <t>IS_SPORTIVE</t>
  </si>
  <si>
    <t>FABRIC_TYPE</t>
  </si>
  <si>
    <t>SLEEVE_TYPE</t>
  </si>
  <si>
    <t>T_SHIRT_COLLAR_TYPE</t>
  </si>
  <si>
    <t>IS_SUITABLE_FOR_PREGNACY</t>
  </si>
  <si>
    <t>Camisetas
(*) Campos obrigatórios</t>
  </si>
  <si>
    <t>Desenho do tecido</t>
  </si>
  <si>
    <t>Tipo de roupa</t>
  </si>
  <si>
    <t>É esportiva</t>
  </si>
  <si>
    <t>Tipo de tecido</t>
  </si>
  <si>
    <t>Tipo de manga</t>
  </si>
  <si>
    <t>Tipo de gola</t>
  </si>
  <si>
    <t>É apta para gestação</t>
  </si>
  <si>
    <t>6479554559634379</t>
  </si>
  <si>
    <t>MLB4492797183</t>
  </si>
  <si>
    <t>U3818742046</t>
  </si>
  <si>
    <t>3REGATA-G</t>
  </si>
  <si>
    <t>MLB-T_SHIRTS</t>
  </si>
  <si>
    <t>MLB31447</t>
  </si>
  <si>
    <t>Kit 3 Regatas Masculinas Caneladas Americana Justa Slim</t>
  </si>
  <si>
    <t>Canelada</t>
  </si>
  <si>
    <t>Cinza Preto Branco</t>
  </si>
  <si>
    <t>AY Not Dead</t>
  </si>
  <si>
    <t>Admit One</t>
  </si>
  <si>
    <t>Altamont</t>
  </si>
  <si>
    <t>Armani</t>
  </si>
  <si>
    <t>Ayres</t>
  </si>
  <si>
    <t>Bolivia</t>
  </si>
  <si>
    <t>Brooks</t>
  </si>
  <si>
    <t>Brooksfield</t>
  </si>
  <si>
    <t>Bross</t>
  </si>
  <si>
    <t>Burton</t>
  </si>
  <si>
    <t>Converse</t>
  </si>
  <si>
    <t>Cultura</t>
  </si>
  <si>
    <t>DC</t>
  </si>
  <si>
    <t>Diesel</t>
  </si>
  <si>
    <t>Dolce &amp; Gabbana</t>
  </si>
  <si>
    <t>Ed Hardy</t>
  </si>
  <si>
    <t>Emerica</t>
  </si>
  <si>
    <t>Garzon García</t>
  </si>
  <si>
    <t>GoodPeople</t>
  </si>
  <si>
    <t>Grisino</t>
  </si>
  <si>
    <t>Guess</t>
  </si>
  <si>
    <t>Inkpronta</t>
  </si>
  <si>
    <t>Inside</t>
  </si>
  <si>
    <t>Jazmin Chebar</t>
  </si>
  <si>
    <t>John L. Cook</t>
  </si>
  <si>
    <t>Kosiuko</t>
  </si>
  <si>
    <t>Lacoste</t>
  </si>
  <si>
    <t>Lee</t>
  </si>
  <si>
    <t>Mistral</t>
  </si>
  <si>
    <t>No Fear</t>
  </si>
  <si>
    <t>Ona Saez</t>
  </si>
  <si>
    <t>Ossira</t>
  </si>
  <si>
    <t>Paula Cahen D'Anvers</t>
  </si>
  <si>
    <t>Penguin</t>
  </si>
  <si>
    <t>Polo Ralph Lauren</t>
  </si>
  <si>
    <t>Pony</t>
  </si>
  <si>
    <t>Prototype</t>
  </si>
  <si>
    <t>Rever Pass</t>
  </si>
  <si>
    <t>Siamo Fuori</t>
  </si>
  <si>
    <t>Sismo</t>
  </si>
  <si>
    <t>Soho</t>
  </si>
  <si>
    <t>Stone</t>
  </si>
  <si>
    <t>Sweet</t>
  </si>
  <si>
    <t>Tannery</t>
  </si>
  <si>
    <t>Tascani</t>
  </si>
  <si>
    <t>Tucci</t>
  </si>
  <si>
    <t>Under Armour</t>
  </si>
  <si>
    <t>Vans</t>
  </si>
  <si>
    <t>Wanama</t>
  </si>
  <si>
    <t>Wrangler</t>
  </si>
  <si>
    <t>X Games</t>
  </si>
  <si>
    <t>regata masculina academia, treino justa</t>
  </si>
  <si>
    <t>Camiseta</t>
  </si>
  <si>
    <t>Kit</t>
  </si>
  <si>
    <t>Balada,Casual,Corrida,Dia-a-dia,Esporte,Parque,Praia,academia,carnaval</t>
  </si>
  <si>
    <t>40% poliéster,60% algodão</t>
  </si>
  <si>
    <t>Sem mangas</t>
  </si>
  <si>
    <t>Redonda</t>
  </si>
  <si>
    <t>Slim</t>
  </si>
  <si>
    <t>MLB4492990139</t>
  </si>
  <si>
    <t>U3818742048</t>
  </si>
  <si>
    <t>3REGATA-M</t>
  </si>
  <si>
    <t>INSTALLATION_PLACEMENT</t>
  </si>
  <si>
    <t>DRYING_RACK_UNFOLDED_LENGTH</t>
  </si>
  <si>
    <t>DRYING_RACK_UNFOLDED_LENGTH_UNIT</t>
  </si>
  <si>
    <t>DRYING_RACK_UNFOLDED_WIDTH</t>
  </si>
  <si>
    <t>DRYING_RACK_UNFOLDED_WIDTH_UNIT</t>
  </si>
  <si>
    <t>DRYING_RACK_UNFOLDED_HEIGHT</t>
  </si>
  <si>
    <t>DRYING_RACK_UNFOLDED_HEIGHT_UNIT</t>
  </si>
  <si>
    <t>IS_EXTENSIBLE</t>
  </si>
  <si>
    <t>IS_ELECTRIC</t>
  </si>
  <si>
    <t>Varais
(*) Campos obrigatórios</t>
  </si>
  <si>
    <t>Lugar de colocação</t>
  </si>
  <si>
    <t>Comprimento aberto</t>
  </si>
  <si>
    <t>Unidade de Comprimento aberto</t>
  </si>
  <si>
    <t>Largura aberto</t>
  </si>
  <si>
    <t>Unidade de Largura aberto</t>
  </si>
  <si>
    <t>Altura aberto</t>
  </si>
  <si>
    <t>Unidade de Altura aberto</t>
  </si>
  <si>
    <t>É extensível</t>
  </si>
  <si>
    <t>É elétrico</t>
  </si>
  <si>
    <t>2318898868663824</t>
  </si>
  <si>
    <t>MLB6481909392</t>
  </si>
  <si>
    <t>U3847505661</t>
  </si>
  <si>
    <t>VARAL</t>
  </si>
  <si>
    <t>MLB-DRYING_RACKS</t>
  </si>
  <si>
    <t>MLB73072</t>
  </si>
  <si>
    <t>Varal De Chão Grande 3 Andares Dobrável Retratil Resistente</t>
  </si>
  <si>
    <t>7899850351003</t>
  </si>
  <si>
    <t>Pratico Para Roupas Com 4 Rodas Vertical Compacto Fácil Montagem Alta Capacidade Secagem Rápida</t>
  </si>
  <si>
    <t>De chão</t>
  </si>
  <si>
    <t>Metal,Plástico</t>
  </si>
  <si>
    <t>VOLUME_CAPACITY</t>
  </si>
  <si>
    <t>VOLUME_CAPACITY_UNIT</t>
  </si>
  <si>
    <t>WITH_CAR_CHARGER</t>
  </si>
  <si>
    <t>INCLUDES_ACCESSORIES</t>
  </si>
  <si>
    <t>ACCESSORIES_INCLUDED</t>
  </si>
  <si>
    <t>Marmitas eletricas
(*) Campos obrigatórios</t>
  </si>
  <si>
    <t>Capacidade em volume</t>
  </si>
  <si>
    <t>Unidade de Capacidade em volume</t>
  </si>
  <si>
    <t>Com carregador veicular</t>
  </si>
  <si>
    <t>Inclui acessórios</t>
  </si>
  <si>
    <t>Acessórios incluídos</t>
  </si>
  <si>
    <t>421593917444667</t>
  </si>
  <si>
    <t>MLB4533994641</t>
  </si>
  <si>
    <t>U3850771576</t>
  </si>
  <si>
    <t>ELETROMARMITA</t>
  </si>
  <si>
    <t>MLB-ELECTRIC_LUNCHBOXES</t>
  </si>
  <si>
    <t>MLB421823</t>
  </si>
  <si>
    <t>Marmita Elétrica Veicular Casa Tomada Bivolt 110v E 12v/24v</t>
  </si>
  <si>
    <t>W</t>
  </si>
  <si>
    <t>7908346291607</t>
  </si>
  <si>
    <t>Genérica</t>
  </si>
  <si>
    <t>Marmita Elétrica</t>
  </si>
  <si>
    <t>110v/220v E 12v/24v</t>
  </si>
  <si>
    <t>L</t>
  </si>
  <si>
    <t>Shorts y bermudas esportivas
(*) Campos obrigatórios</t>
  </si>
  <si>
    <t>8927637696630167</t>
  </si>
  <si>
    <t>MLB4491527865</t>
  </si>
  <si>
    <t>U3808274305</t>
  </si>
  <si>
    <t>4TAC-M</t>
  </si>
  <si>
    <t>MLB-SPORT_SHORTS</t>
  </si>
  <si>
    <t>MLB270227</t>
  </si>
  <si>
    <t>Kit 4 Shorts Masculino Academia Praia Tactel Bermuda Casual</t>
  </si>
  <si>
    <t>Liso</t>
  </si>
  <si>
    <t>Preto Cinz Azul Verde</t>
  </si>
  <si>
    <t>Bermuda Shorts Verão Secagem Rápida Leve Liso Bolsos Praia Premium Cintura Elástico  Musculação Treino Corrida Futebol</t>
  </si>
  <si>
    <t>Poliéster</t>
  </si>
  <si>
    <t>8% elastano,92% poliéster</t>
  </si>
  <si>
    <t>SOUND_PRESSURE_LEVEL</t>
  </si>
  <si>
    <t>SOUND_PRESSURE_LEVEL_UNIT</t>
  </si>
  <si>
    <t>ALPHANUMERIC_MODEL</t>
  </si>
  <si>
    <t>FREQUENCY</t>
  </si>
  <si>
    <t>VACUUM_AND_STEAM_CLEANER_TYPES</t>
  </si>
  <si>
    <t>ADDITIONAL_FUNCTIONS</t>
  </si>
  <si>
    <t>COLLECTOR_TYPES</t>
  </si>
  <si>
    <t>IS_SUITABLE_FOR_LIQUID</t>
  </si>
  <si>
    <t>IS_WIRELESS</t>
  </si>
  <si>
    <t>IS_INDUSTRIAL</t>
  </si>
  <si>
    <t>WITH_OUTPUT_FILTER</t>
  </si>
  <si>
    <t>INCLUDES_REUSABLE_FILTERS</t>
  </si>
  <si>
    <t>INCLUDES_BATTERY</t>
  </si>
  <si>
    <t>HEATING_TIME</t>
  </si>
  <si>
    <t>HEATING_TIME_UNIT</t>
  </si>
  <si>
    <t>MAX_STEAM_PRESSURE</t>
  </si>
  <si>
    <t>MAX_STEAM_PRESSURE_UNIT</t>
  </si>
  <si>
    <t>ENERGY_EFFICIENCY</t>
  </si>
  <si>
    <t>Aspiradores e limpadores a v...
(*) Campos obrigatórios</t>
  </si>
  <si>
    <t>Nível de pressão sonora</t>
  </si>
  <si>
    <t>Unidade de Nível de pressão sonora</t>
  </si>
  <si>
    <t>Modelo alfanumérico</t>
  </si>
  <si>
    <t>Frequência</t>
  </si>
  <si>
    <t>Tipos de aspirador e limpador a vapor</t>
  </si>
  <si>
    <t>Funções adicionais</t>
  </si>
  <si>
    <t>Tipos de coletor</t>
  </si>
  <si>
    <t>É adequado para líquido</t>
  </si>
  <si>
    <t>É sem fio</t>
  </si>
  <si>
    <t>É industrial</t>
  </si>
  <si>
    <t>Com filtro de saída</t>
  </si>
  <si>
    <t>Inclui filtros reutilizáveis</t>
  </si>
  <si>
    <t>Inclui bateria</t>
  </si>
  <si>
    <t>Tempo de aquecimento</t>
  </si>
  <si>
    <t>Unidade de Tempo de aquecimento</t>
  </si>
  <si>
    <t>Pressão máxima de vapor</t>
  </si>
  <si>
    <t>Unidade de Pressão máxima de vapor</t>
  </si>
  <si>
    <t>Eficiência energética</t>
  </si>
  <si>
    <t>6101870445006074</t>
  </si>
  <si>
    <t>MLB4534068537</t>
  </si>
  <si>
    <t>U3840518023</t>
  </si>
  <si>
    <t>MINIASPIRA</t>
  </si>
  <si>
    <t>MLB-VACUUM_AND_STEAM_CLEANERS</t>
  </si>
  <si>
    <t>MLB4337</t>
  </si>
  <si>
    <t>Mini Aspirador De Pó Portátil Forte Recarregável Sem Fio</t>
  </si>
  <si>
    <t>7908348216097</t>
  </si>
  <si>
    <t>Carro</t>
  </si>
  <si>
    <t>Mini</t>
  </si>
  <si>
    <t>Não se aplica</t>
  </si>
  <si>
    <t>De mão</t>
  </si>
  <si>
    <t>Recarregavel,Sem fio,Ventilador forte</t>
  </si>
  <si>
    <t>Obrigatório</t>
  </si>
  <si>
    <t>-</t>
  </si>
  <si>
    <t>R$</t>
  </si>
  <si>
    <t>Novo</t>
  </si>
  <si>
    <t>O Multi Varal de Chão Dobrável 3 Andares é a solução perfeita para quem busca praticidade, economia de espaço e alta capacidade de secagem. Seu design moderno e funcional se adapta facilmente a qualquer ambiente, sendo ideal para apartamentos e espaços compactos. Com 3 andares ajustáveis, estrutura dobrável e rodas com trava, ele oferece praticidade no dia a dia, sem abrir mão da elegância.
Fabricado com tubos de aço resistentes e peças em ABS de alta qualidade, é à prova de ferrugem, ideal até mesmo para casas de praia. Com capacidade para até 100 peças ou 40kg de roupas distribuídas, este varal é a escolha ideal para famílias que prezam por eficiência e organização.
Benefícios
Alta capacidade: suporta até 40kg ou mais de 100 peças de roupa
Compacto e portátil: estrutura dobrável que facilita o armazenamento
Mobilidade com segurança: 4 rodinhas com giro de 360°, sendo 2 com trava
Prático e versátil: ideal para uso interno ou externo
Ajustável: prateleiras com regulagem de altura e abas laterais para cabides
Especificações
Medidas montado: 164 cm (altura) x 70 cm (largura) x 52 cm (profundidade)
Prateleiras: 6 unidades
Material: metal com pintura resistente + ABS reforçado
Capacidade de carga: até 5 kg por prateleira, total de 40 kg
Rodinhas: 4 com giro de 360° (2 com travas)
Abas laterais: 2 unidades de 30 cm para cabides
Peso do produto: 2,5 kg
Tamanho da embalagem: 72 x 17 x 9 cm
Perguntas Frequentes
É fácil de mover mesmo com roupas molhadas?
Sim. As rodas com giro de 360° facilitam o transporte, e duas delas têm travas para manter o varal estável durante o uso.
Cabe muita roupa mesmo?
Sim. Com seus 3 andares e abas laterais, ele comporta mais de 100 peças, suportando até 40kg no total quando bem distribuído.
Precisa furar a parede para usar?
Não. Ele é um varal de chão, totalmente portátil, sem necessidade de fixação.
Dá pra desmontar e guardar?
Sim. Ele possui estrutura dobrável e pode ser facilmente guardado em cantos ou armários quando não estiver em uso.
Conteúdo da Embalagem
1 Varal de Chão Dobrável 3 Andares
Manual de montagem (simples e intuitivo)</t>
  </si>
  <si>
    <t>Mercado Envios grátis</t>
  </si>
  <si>
    <t>Não aceito</t>
  </si>
  <si>
    <t>Clássico</t>
  </si>
  <si>
    <t>Ativo</t>
  </si>
  <si>
    <t>Garantia do vendedor</t>
  </si>
  <si>
    <t>meses</t>
  </si>
  <si>
    <t>Não especificado</t>
  </si>
  <si>
    <t>Mini Bateria Musical Infantil com Banquinho e Baquetas – Diversão e Desenvolvimento
Desperte o talento musical das crianças com a Mini Bateria Musical Infantil. Um brinquedo educativo e interativo que estimula a criatividade, coordenação motora e percepção rítmica de forma divertida e envolvente.
Ideal para pequenos músicos que adoram som, ritmo e brincadeiras cheias de energia.
Benefícios do Produto
Estimula o interesse pela música desde cedo
Desenvolve coordenação motora e ritmo
Incentiva criatividade e expressão artística
Promove concentração e interação
Ideal para momentos de diversão em família
Especificações
Cinco tambores
Acompanha baquetas
Inclui banquinho ergonômico
Disponível nas cores vermelho ou azul
Produto desmontado para montagem simples
Indicado para crianças
Medidas do Produto
71 cm (comprimento)
62 cm (altura)
32 cm (largura)
Um presente ideal para aniversários, Natal ou Dia das Crianças, proporcionando diversão, aprendizado e desenvolvimento musical desde cedo.</t>
  </si>
  <si>
    <t>Mercado Envios por conta do comprador</t>
  </si>
  <si>
    <t>33</t>
  </si>
  <si>
    <t>Apresentamos o Cavalinho Upa Upa, um brinquedo musical que promete encantar as crianças e proporcionar momentos de diversão inesquecíveis. Com um design atraente na cor azul, este brinquedo é perfeito para crianças de 2 a 10 anos, suportando um peso máximo de 60 kg.
Fabricado pela renomada marca Sophia Mundo Encantado, este cavalinho é feito de borracha resistente, garantindo durabilidade e segurança para os pequenos. Com 56 cm de comprimento e 24 cm de largura, é o tamanho ideal para as crianças brincarem à vontade, seja em casa ou no parque.
O Cavalinho Upa Upa não é apenas um brinquedo, mas também uma ferramenta de aprendizado. A música que acompanha o brinquedo ajuda a desenvolver o ritmo e a coordenação motora das crianças, enquanto o ato de pular estimula o equilíbrio e a força física.
Este brinquedo possui o Selo Inmetro, que atesta a sua qualidade e segurança. Com o Cavalinho Upa Upa, as crianças podem brincar e se divertir com total segurança, enquanto os pais têm a tranquilidade de saber que estão oferecendo um produto de qualidade para seus filhos.</t>
  </si>
  <si>
    <t>O Ventilador Recarregável BAK DUAL FLEX é a solução ideal para quem busca conforto e eficiência em qualquer ambiente. 
Com um design de pedestal elegante e funcional, este ventilador oferece 9 velocidades, permitindo que você ajuste a intensidade do vento conforme sua necessidade. Sua função turbo proporciona um resfriamento rápido e eficaz, ideal para os dias mais quentes.
Equipado com controle remoto, você pode operar o ventilador à distância, garantindo praticidade e comodidade. As pás reversíveis permitem que você escolha a direção do fluxo de ar, enquanto a luz integrada adiciona um toque de versatilidade ao seu uso. 
Com um nível de ruído de apenas 10 dB, você pode desfrutar de um ambiente tranquilo sem interrupções. A eficiência energética A do ventilador BAK garante que você mantenha o conforto sem se preocupar com o consumo de energia. 
Com um peso de 5,5 kg, é fácil de mover e posicionar em diferentes locais da casa ou escritório. Este ventilador é a escolha perfeita para quem valoriza qualidade, desempenho e um toque de modernidade em seus espaços.</t>
  </si>
  <si>
    <t>dias</t>
  </si>
  <si>
    <t>Avião Brinquedo H620 Aviao Brinquedo Branco</t>
  </si>
  <si>
    <t>359</t>
  </si>
  <si>
    <t>Veículos de brinquedo sem controle remoto</t>
  </si>
  <si>
    <t>Preto 1.2v</t>
  </si>
  <si>
    <t>A Marmita Elétrica Veicular Casa é a solução ideal para quem busca praticidade e eficiência na hora de se alimentar, seja em casa ou na estrada. Com uma capacidade de 1,05 litros, ela permite aquecer e cozinhar suas refeições de forma rápida e segura, garantindo que você tenha sempre uma alimentação saudável à mão.
Este modelo bivolt (110v e 12v/24v) é perfeito para uso em diferentes ambientes, desde a sua cozinha até o carro, tornando-se um acessório indispensável para viagens e passeios. Fabricada em plástico resistente, suas dimensões compactas (11 cm de altura, 14 cm de largura e 23 cm de comprimento) facilitam o armazenamento e o transporte.
Acompanha um carregador veicular, permitindo que você prepare suas refeições enquanto está em movimento. Com a Marmita Elétrica Veicular Casa, você pode desfrutar de pratos quentes e saborosos a qualquer hora, sem complicações.</t>
  </si>
  <si>
    <t>Marmitas elétricas</t>
  </si>
  <si>
    <t>A Churrasqueira Sem Fumaça Elétrica Grelhador Grelha Churrasco é a solução perfeita para quem ama um bom churrasco, mas não quer abrir mão da praticidade e do conforto de ambientes internos. Com um design compacto, suas dimensões de 30 cm de profundidade, 10 cm de altura e 48 cm de largura a tornam ideal para qualquer espaço. A marca Bak garante qualidade e durabilidade, enquanto o modelo BBQ oferece 5 níveis de temperatura, permitindo que você ajuste o calor conforme sua preferência. Além disso, conta com grelhas e resistências removíveis, facilitando a limpeza. A churrasqueira possui um medidor de temperatura, assegurando que seus alimentos sejam preparados na perfeição. Lembre-se de que, para evitar fumaça, é imprescindível adicionar água na bandeja. Com uma potência de 1500 W e voltagem de 110 Volts, você terá um churrasco delicioso e sem complicações!</t>
  </si>
  <si>
    <t>Churrasqueiras elétricas</t>
  </si>
  <si>
    <t>Preto Cinz Azul Verde Liso M</t>
  </si>
  <si>
    <t>O Shorts Masculino de Tactel com Elastano é a escolha ideal para quem busca conforto, leveza e liberdade de movimento no dia a dia. Seja para academia, praia, caminhada ou um passeio casual, ele entrega desempenho e estilo em qualquer ocasião.
Produzido com tecido leve de tactel e elastano, oferece secagem rápida, toque macio e excelente elasticidade, garantindo ajuste perfeito ao corpo sem limitar seus movimentos.
Benefícios do Produto
Conforto absoluto: tecido leve, respirável e flexível
Liberdade de movimento: elastano que acompanha seus movimentos
Secagem rápida: ideal para treinos e dias quentes
Estilo moderno: versátil para esporte e uso casual
Cintura com elástico: melhor ajuste ao corpo
Bolsos funcionais: praticidade no dia a dia
Alta durabilidade: mantém forma e cor após várias lavagens
Especificações
Material: Tactel com elastano
Modelagem: Confortável e ajustável
Cintura com elástico
Bolsos laterais funcionais
Indicado para: academia, praia, corrida, passeio e uso diário
Tabela de Medidas
As medidas da cintura são referentes apenas à parte frontal do shorts. Para saber a circunferência total, basta multiplicar por 2.
Tamanho M
Coxa: 30 cm
Comprimento: 44 cm
Cintura: 33 cm até 45 cm (parte frontal)
Circunferência aproximada: 66 cm até 90 cm
Tamanho G
Coxa: 31 cm
Comprimento: 45 cm
Cintura: 33 cm até 44 cm (parte frontal)
Circunferência aproximada: 66 cm até 88 cm
Tamanho GG
Coxa: 34 cm
Comprimento: 47 cm
Cintura: 36 cm até 52 cm (parte frontal)
Circunferência aproximada: 72 cm até 104 cm
Perguntas Frequentes
O shorts é transparente?
Não. O tecido possui boa gramatura e não fica transparente.
Tem forro interno?
Não possui forro, oferecendo maior leveza e respirabilidade.
Serve para academia?
Sim. É ideal para treinos, corrida e atividades físicas em geral.
O tecido esquenta muito?
Não. O tactel é leve e respirável, perfeito para dias quentes.
Tem bastante elasticidade?
Sim. O elastano permite que o shorts se ajuste ao corpo sem apertar ou limitar movimentos.</t>
  </si>
  <si>
    <t>87</t>
  </si>
  <si>
    <t>LANTERNA TÁTICA MILITAR X900 + BATERIA 26650 + CARREGADOR BIVOLT + CARREGADOR P/ CARRO
Este produto é feito de alumínio, é impermeável e à prova de choque. Usa a lâmpada T6 LUXEON que dura até 100.000 horas de LED. A duração da bateria é de 180 minutos na carga completa e pode ser recarregada até 500 vezes. 
Para garantir a segurança, os produtos são firmemente conectados e vêm com dois carregadores: o adaptador AC Bivolt e o DC 12V para carro, proporcionando maior comodidade. Possui zoom de 1 a 2000x.
A lanterna possui 3 funções luminosas: alta intensidade, baixa intensidade e strobo.
Características:
- Feita de alumínio classe A leve e compacta.
- Feixe de foco ajustável com zoom de 1-2000x.
- Cor da Luz: Branca.
- Duração da bateria: 3 horas.
- Duração para carga: 3 horas.
- SOS Estroboscópio.
- LED Tático.
- Lâmpada com 100.000 horas de duração.
- Raio de Luz com 800 lumens de potência.
- Raio Telescópio Ajustável.
- Medidas do produto: (A*L*C) 3,5x3,5x14cm.
- Peso: 156g.
Cuidados e Indicações:
- Não olhe diretamente para a luz.
- Não mexer com a cabeça de tocha ou separar o refletor e o bulbo.
- Limpe a lanterna com tecido macio após o uso.
- Lubrificante de silicone pode ser aplicado à interface.
- Remova a bateria caso não esteja em uso por um longo período e mantenha em local seco.
- Evite luz solar direta.
Itens inclusos:
1x Lanterna Tática.
1x Bateria 26650.
1x Carregador Bivolt.
1x Carregador para carro.</t>
  </si>
  <si>
    <t>58</t>
  </si>
  <si>
    <t>Carrinho de Polícia que Vira Robô Transformens
Este carro Transformer é um espetáculo por si só, é um carro autônomo e quando encontra um obstáculo desvia, vai para outra direção, ele se transforma em um Super Robô que emite sons de polícia e fala frases. As crianças vão amar esse carrinho.
Especificações:
Tipo de Brinquedo: Carro que Vira Robô
Recursos: Luzes, Sons e Sensor bate e volta
Alimentação: 3 Pilhas AA (não Inclusas)
Brinquedo de Controle Remoto: NÃO
Fabricante: Mohnish Imports
Modelo: TK1259
Idade recomendada: Á partir de 3 anos
Certificado INMETRO CE-BRI/INNAC 00152-03A NM 300/2002
Dimensões: 22cm de comprimento como carro ou Robô
Itens Inclusos:
1x Carrinho Transformer Autônomo'.</t>
  </si>
  <si>
    <t>Branco G</t>
  </si>
  <si>
    <t>Shorts de Linho Masculino Premium foi desenvolvido para quem busca leveza, conforto e um visual moderno nos dias mais quentes. Com tecido de toque macio e aparência sofisticada, é ideal para uso casual, lazer ou até composições mais arrumadas.
O modelo conta com cintura ajustável com elástico e cordão, garantindo um caimento confortável e prático. O comprimento acima do joelho traz um estilo atual, versátil e fácil de combinar com camisetas, camisas ou regatas.
3 cores essenciais — preto, bege e branco — oferecendo mais possibilidades de uso no dia a dia.
Características do short
Cordão para regulagem
Cós com elástico
Costura reforçada
Bolsos laterais funcionais
Destaques do produto
shorts masculinos
Tecido com visual de linho
Cintura com elástico e cordão
Modelagem confortável acima do joelho
Ideal para dias quentes e uso casual
TABELA DE MEDIDAS
Tamanho Cintura Comprimento Coxa
P 33–48 cm 41 cm 34 cm
M 34–50 cm 42 cm 35 cm
G 35–52 cm 43 cm 36 cm
GG 37–54 cm 44 cm 37 cm
Observação: As medidas podem sofrer pequenas variações em decorrência do processo de confecção, sem alterar significativamente o tamanho final do produto.</t>
  </si>
  <si>
    <t>A Girafa Flexível é um brinquedo diferente de tudo que a criança já viu. Ela estica, dobra, torce e conecta, permitindo criar formas divertidas e infinitas combinações. Um brinquedo sensorial e criativo que prende a atenção e estimula o desenvolvimento infantil de forma leve e divertida.
Com ventosas nas patas para fixação em superfícies lisas e luz LED integrada, a brincadeira fica ainda mais envolvente.
O que torna esse brinquedo especial
Estica e retorna ao formato original
Dobra e cria posições diferentes
Torce sem quebrar
Conecta com outras girafas
Possui ventosas para fixação em superfícies
Luz LED que deixa a brincadeira mais divertida
Benefícios para o desenvolvimento infantil
Estimula a coordenação motora
Trabalha criatividade e imaginação
Desenvolve percepção sensorial
Ajuda na concentração
Incentiva brincadeiras longe das telas
Segurança e Qualidade
Produto com certificação INMETRO
Fabricado em plástico resistente e durável
Leve, seguro e fácil de manusear
Indicado para crianças a partir de 3 anos
Informações Importantes
Escolha a cor e a quantidade desejada no momento da compra
As cores podem variar conforme o lote, mantendo o mesmo padrão de qualidade</t>
  </si>
  <si>
    <t>Preto 127/220v</t>
  </si>
  <si>
    <t>Mantenha seu ambiente sempre limpo e organizado com o Mini Aspirador de Pó Portátil para Teclado. Compacto, prático e eficiente, ele foi desenvolvido para remover poeira, migalhas e pequenos resíduos de locais de difícil acesso com facilidade.
Com potente sucção, este mini aspirador é ideal para limpar teclados, mesas, computadores, sofás e até o interior do carro. Seu design portátil e sem fio permite utilizá-lo em qualquer lugar, oferecendo praticidade para o dia a dia.
Benefícios
Sucção eficiente para remover poeira e migalhas
Compacto e portátil, fácil de transportar
Ideal para limpeza de teclados e eletrônicos
Pode ser usado em mesas, carros, sofás e cantos difíceis
Design sem fio que facilita o uso em qualquer lugar
Limpeza rápida e prática no dia a dia
Especificações
Tipo: mini aspirador portátil
Uso indicado: teclados, mesas, carros, eletrônicos e superfícies pequenas
Design compacto e leve
Funcionamento sem fio
Fabricado com materiais resistentes e duráveis
Perguntas frequentes
Este aspirador serve apenas para teclado?
Não. Ele também pode ser usado para limpar mesas, sofás, carros, computadores e outros locais de difícil acesso.
Ele é fácil de transportar?
Sim. Seu tamanho compacto e design portátil permitem levar o aspirador facilmente para qualquer lugar.
A sucção é forte o suficiente para limpar migalhas?
Sim. O aspirador possui sucção eficiente para remover poeira, migalhas e pequenos resíduos com facilidade.</t>
  </si>
  <si>
    <t>Aspiradores e limpadores a vapor</t>
  </si>
  <si>
    <t>A Miniatura Scania 770S é perfeita para quem busca realismo, qualidade e diversão em um só produto. Com acabamento detalhado e design fiel ao modelo original, ela reproduz toda a imponência de um dos caminhões mais desejados do mundo em versão compacta.
Equipada com sistema de fricção, luzes e sons realistas, proporciona uma experiência completa tanto para colecionadores quanto para crianças apaixonadas por caminhões.
Benefícios
Modelo realista inspirado na Scania 770S
Sistema de fricção: basta puxar para trás e soltar
Luzes e sons que tornam a brincadeira mais imersiva
Estrutura resistente em metal e plástico
Rodas emborrachadas para melhor aderência
Ideal para coleção, decoração ou diversão
Especificações
Modelo: Scania 770S
Escala: 1:42
Material: ferro (metal) e plástico resistente
Rodas: emborrachadas
Funções: fricção, luz e som
Dimensões aproximadas:
Altura: 9 cm
Comprimento: 14 cm
Largura: 6 cm
Cores disponíveis
Azul
Vermelho
Laranja
Branco
Kit com 4 cores (conforme disponibilidade)
Perguntas frequentes
O caminhão anda sozinho?
Sim. Possui sistema de fricção, basta puxar para trás e soltar para ele se movimentar.
As luzes e sons funcionam automaticamente?
Sim. São ativados durante o uso, tornando a experiência mais realista.
O material é resistente?
Sim. O corpo é feito em metal com partes em plástico de alta qualidade.
É indicado para crianças ou colecionadores?
Para ambos. Pode ser utilizado como brinquedo ou item de coleção.</t>
  </si>
  <si>
    <t>Veículos em miniatura</t>
  </si>
  <si>
    <t>Preto 220v</t>
  </si>
  <si>
    <t>16</t>
  </si>
  <si>
    <t>A Pipoqueira Elétrica Preta é a escolha ideal para quem busca praticidade, rapidez e uma forma mais saudável de preparar pipoca em casa. Utilizando tecnologia de ar quente, ela dispensa completamente o uso de óleo, entregando pipocas leves e crocantes em poucos minutos.
Seu design compacto e moderno na cor preta combina com qualquer ambiente e facilita o armazenamento, sendo perfeita para uso doméstico frequente.
Principais Características e Vantagens
Voltagem fixa: 220 V ou 110V
Preparo sem óleo, apenas com ar quente
Aquecimento rápido e eficiente
Design compacto e elegante
Abertura transparente para visualização do preparo
Operação simples e intuitiva
Proteção contra superaquecimento
Fácil limpeza e manutenção
Estável durante o uso, com pés antiderrapantes
Especificações Técnicas
Tensão: 220 V ou 110 V
Potência: 1200 W (220), 1100 W (110)
Capacidade por ciclo: até 50 g de milho
Dimensões aproximadas: 26 x 10 x 11 cm
Material: Plástico resistente com sistema térmico interno
Peso aproximado: 1 kg
Conteúdo da Embalagem
1 Pipoqueira Elétrica Preta
1 Colher dosadora
1 Manual de instruções (idioma inglês)
Instruções de Uso e Cuidados
Utilize o aparelho apenas na rede elétrica escolhida
Coloque o milho conforme a medida recomendada.
Ligue o aparelho e aguarde o preparo.
Desligue após o uso e espere esfriar antes de limpar.
Limpeza externa com pano macio levemente umedecido.
Nunca submergir o produto em água.
Não utilizar com partes mal encaixadas.
Perguntas Frequentes (FAQ) 
1. A pipoca fica realmente sem óleo?
Sim. O preparo é feito somente com circulação de ar quente.
2. Quanto tempo leva para a pipoca ficar pronta?
Em média, de 2 a 4 minutos por ciclo.
3. Posso fazer pipoca para muitas pessoas?
Pode ser necessário realizar mais de um ciclo, respeitando a capacidade indicada.
4. É seguro usar com crianças por perto?
Sim, desde que utilizado sobre superfície estável e com supervisão, pois o aparelho aquece durante o uso.</t>
  </si>
  <si>
    <t>Pipoqueiras elétricas</t>
  </si>
  <si>
    <t>79</t>
  </si>
  <si>
    <t>Apresentamos o Cavalo de Borracha Upa Upa Pula, um brinquedo que promete trazer muita diversão e alegria para as crianças. Com a cor azul vibrante, este brinquedo é feito de borracha resistente e durável, garantindo horas de brincadeira segura e divertida.
Este brinquedo tem um comprimento de 57 cm e uma largura de 24 cm, tornando-o o tamanho perfeito para as crianças montarem e pularem. O modelo Upa Pula Cavalinho Musical é inflável. Além disso, possui luzes LED que acendem durante o uso, adicionando um elemento extra de diversão.
Recomendado para crianças a partir de 12 meses até 7 anos, este brinquedo pode suportar um peso máximo de 54 kg. Com um peso de apenas 1.4 kg, é fácil de transportar e armazenar, tornando-o o brinquedo perfeito para levar para brincadeiras ao ar livre ou para a casa dos amigos.
O Cavalo de Borracha Upa Upa Pula é mais do que apenas um brinquedo, é uma ferramenta que ajuda no desenvolvimento físico e motor das crianças, enquanto elas se divertem pulando e brincando. Com o selo do Inmetro, você pode ter certeza de que está adquirindo um produto de qualidade e seguro para o seu pequeno.</t>
  </si>
  <si>
    <t>Preto Bege Branco M</t>
  </si>
  <si>
    <t>O Kit com 3 Shorts de Linho Masculino Premium foi desenvolvido para quem busca leveza, conforto e um visual moderno nos dias mais quentes. Com tecido de toque macio e aparência sofisticada, é ideal para uso casual, lazer ou até composições mais arrumadas.
O modelo conta com cintura ajustável com elástico e cordão, garantindo um caimento confortável e prático. O comprimento acima do joelho traz um estilo atual, versátil e fácil de combinar com camisetas, camisas ou regatas.
O kit inclui 3 cores essenciais — preto, bege e branco — oferecendo mais possibilidades de uso no dia a dia.
Características do short
Cordão para regulagem
Cós com elástico
Costura reforçada
Bolsos laterais funcionais
Destaques do produto
Kit com 3 shorts masculinos
Tecido com visual de linho
Cintura com elástico e cordão
Modelagem confortável acima do joelho
Ideal para dias quentes e uso casual
TABELA DE MEDIDAS
Tamanho Cintura Comprimento Coxa
P 33–48 cm 41 cm 34 cm
M 34–50 cm 42 cm 35 cm
G 35–52 cm 43 cm 36 cm
GG 37–54 cm 44 cm 37 cm
Observação: As medidas podem sofrer pequenas variações em decorrência do processo de confecção, sem alterar significativamente o tamanho final do produto.</t>
  </si>
  <si>
    <t>40 Cm 60 Hz Preto 220v Cinza Plástico 6</t>
  </si>
  <si>
    <t>45.72 Cm 60hz Branco 127/220v Branca Plástico 5</t>
  </si>
  <si>
    <t>Deixe a brincadeira da criançada mais divertida com esse super Avião Miniatura de Brinquedo a fricção.
Para a diversão ficar ainda melhor, o avião se movimenta com seu sistema de fricção, emite som do avião decolando e acende luzes.
Ajuda a desenvolver a imaginação e desperta a criatividade das crianças.
Ideal para colecionadores de miniaturas ou como objeto de decoração do quarto.
Ele é bem fácil de montar, é leve, grande e muito bonito.
É com certeza uma ótima opção de presente para garantir a diversão da criançada!
Mede 40 cm de comprimento x 37 cm de envergadura (ponta de uma asa até a outra), utiliza 3 baterias que jã vão junto com o brinquedo!
* Desenvolve a percepção de movimento e a capacidade visual;
* Desperta a imaginação e a criatividade da criança;
* Faz barulho de um avião de verdade e ascende luz;
* Sistema de fricção que movimenta o brinquedo;
* Ótima opção para colecionadores;
* Presente ideal para as crianças;
* Diversão garantida!
Dimensões do produto: 40 cm de comprimento x 37 cm de envergadura (ponta de uma asa até a outra)
----------------------------------------------------------------------------
DÚVIDAS FREQUENTES
* O Avião acende luzes?
Sim, ele acende luzes internas.
* O Avião emite som?
Sim, ele emite o som do avião decolando.
* Ele utiliza pilhas?
Não, ele utiliza 3 baterias modelo LR44 que vão junto com o brinquedo.
* Quais as medidas do avião?
40 cm de comprimento x 37 cm de envergadura (ponta de uma asa até a outra).
* Ele é de fricção?
Sim, sistema de fricção nas rodas traseiras.
* Ele voa?
Não, apenas anda no chão.
*Tem pronta entrega?
Sim, temos pronta entrega.
----------------------------------------------------------------------------
*ATENÇÃO*! INFORMAÇÕES IMPORTANTES
Não recomendável para crianças menores de 3 anos.
Todos os nossos produtos são testados antes de serem embalados.
As cores do produto podem variar do apresentado nas imagens do anúncios ou nas ilustrações da embalagem.
Informações fornecidas pelo fabricante!
----------------------------------------------------------------------------
O QUE VOCÊ VAI RECEBER?
1 Avião de Brinquedo Fricção
----------------------------------------------------------------------------
Clique no botão azul "Comprar agora" para garantir o Avião de Brinquedo pelo melhor preço!</t>
  </si>
  <si>
    <t>Cinza Preto Branco M Canelada</t>
  </si>
  <si>
    <t>Renove seu guarda-roupa com o Kit com 3 Regatas Masculinas Caneladas Modelo Americano. Desenvolvidas para oferecer conforto, estilo e versatilidade, essas peças são ideais tanto para treinos quanto para composições casuais e até produções mais elaboradas.
O modelo americano possui decote mais fechado nas costas, garantindo melhor ajuste ao corpo e visual moderno.
O Kit Contém
01 Regata Branca
01 Regata Preta
01 Regata Cinza Mescla
As cores do kit são fixas e enviadas conforme descrito.
Composição do Tecido
60% Algodão
40% Poliéster
A combinação proporciona toque macio, boa respirabilidade e maior durabilidade, mantendo a estrutura da peça mesmo após várias lavagens.
Benefícios do Produto
Modelo americano com melhor caimento
Tecido confortável e resistente
Ideal para academia, treino, dia a dia ou balada
Combina facilmente com bermudas, jeans e calças
Ótimo custo-benefício por ser kit com 3 peças
Dúvidas sobre tamanho?
regata G
comprimento - 73 cm
largura ombro - 35 cm
largura peito - 47 cm
regata M
comprimento - 69 cm
largura ombro - 33 cm
largura peito - 45 cm
Agradecemos sua visita e esperamos que faça sua compra conosco.</t>
  </si>
  <si>
    <t>40 Cm 60 Hz Preto 127v Cinza Plástico 6</t>
  </si>
  <si>
    <t>Cinza Preto Branco G Canelada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</si>
</sst>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Arial"/>
      <scheme val="minor"/>
    </font>
    <font>
      <sz val="14"/>
      <color rgb="FF666666"/>
      <name val="Arial"/>
    </font>
    <font>
      <sz val="21"/>
      <color rgb="FF333333"/>
      <name val="Arial"/>
    </font>
    <font>
      <sz val="10"/>
      <name val="Arial"/>
    </font>
    <font>
      <sz val="12"/>
      <color rgb="FF434343"/>
      <name val="Arial"/>
    </font>
    <font>
      <sz val="10"/>
      <color theme="1"/>
      <name val="Arial"/>
    </font>
    <font>
      <sz val="14"/>
      <color rgb="FF333333"/>
      <name val="Arial"/>
    </font>
    <font>
      <b/>
      <sz val="14"/>
      <color rgb="FF333333"/>
      <name val="Arial"/>
    </font>
    <font>
      <sz val="10"/>
      <color rgb="FF666666"/>
      <name val="Arial"/>
    </font>
    <font>
      <sz val="14"/>
      <color rgb="FF434343"/>
      <name val="Arial"/>
    </font>
    <font>
      <sz val="10"/>
      <color rgb="FF999999"/>
      <name val="Arial"/>
    </font>
    <font>
      <b/>
      <sz val="11"/>
      <color theme="1"/>
      <name val="Arial"/>
    </font>
    <font>
      <u/>
      <sz val="10"/>
      <color rgb="FF1155CC"/>
      <name val="Arial"/>
    </font>
    <font>
      <sz val="10"/>
      <color rgb="FF000000"/>
      <name val="Arial"/>
    </font>
    <font>
      <b/>
      <sz val="14"/>
      <color rgb="FF000000"/>
      <name val="Arial"/>
    </font>
    <font>
      <sz val="10"/>
      <color rgb="FF000000"/>
      <name val="Arial"/>
    </font>
    <font>
      <sz val="10"/>
      <color rgb="FF999999"/>
      <name val="Arial"/>
    </font>
    <font>
      <u/>
      <sz val="10"/>
      <color rgb="FFB7B7B7"/>
      <name val="Arial"/>
    </font>
    <font>
      <u/>
      <sz val="10"/>
      <name val="Arial"/>
    </font>
    <font>
      <sz val="10"/>
      <name val="Arial"/>
    </font>
    <font>
      <sz val="10"/>
      <name val="Arial"/>
    </font>
    <font>
      <b/>
      <sz val="10"/>
      <name val="Arial"/>
    </font>
    <font>
      <sz val="9"/>
      <name val="Arial"/>
    </font>
    <font>
      <b/>
      <sz val="9"/>
      <name val="Arial"/>
    </font>
    <font>
      <sz val="10"/>
      <color rgb="FF999999"/>
      <name val="Arial"/>
    </font>
    <font>
      <sz val="10"/>
      <name val="Arial"/>
    </font>
    <font>
      <sz val="10"/>
      <name val="Arial"/>
    </font>
    <font>
      <b/>
      <i/>
      <sz val="10"/>
      <color rgb="FF781A13"/>
      <name val="Arial"/>
    </font>
  </fonts>
  <fills count="17">
    <fill>
      <patternFill patternType="none"/>
    </fill>
    <fill>
      <patternFill patternType="gray125"/>
    </fill>
    <fill>
      <patternFill patternType="solid">
        <fgColor rgb="FFFFF158"/>
        <bgColor rgb="FFFFF158"/>
      </patternFill>
    </fill>
    <fill>
      <patternFill patternType="solid">
        <fgColor rgb="FFD9D9D9"/>
        <bgColor rgb="FFD9D9D9"/>
      </patternFill>
    </fill>
    <fill>
      <patternFill patternType="solid">
        <fgColor rgb="FFF5F5F5"/>
        <bgColor rgb="FFF5F5F5"/>
      </patternFill>
    </fill>
    <fill>
      <patternFill patternType="solid">
        <fgColor rgb="FFF9F9F9"/>
        <bgColor rgb="FFF9F9F9"/>
      </patternFill>
    </fill>
    <fill>
      <patternFill patternType="solid">
        <fgColor rgb="FFF8F8F8"/>
        <bgColor rgb="FFF8F8F8"/>
      </patternFill>
    </fill>
    <fill>
      <patternFill patternType="solid">
        <fgColor rgb="FFFFFFFF"/>
        <bgColor rgb="FFFFFFFF"/>
      </patternFill>
    </fill>
    <fill>
      <patternFill patternType="solid">
        <fgColor rgb="FFEEEEEE"/>
        <bgColor rgb="FFEEEEEE"/>
      </patternFill>
    </fill>
    <fill>
      <patternFill patternType="solid">
        <fgColor rgb="FFF9F9F9"/>
      </patternFill>
    </fill>
    <fill>
      <patternFill patternType="solid">
        <fgColor rgb="FFEAEAEA"/>
      </patternFill>
    </fill>
    <fill>
      <patternFill patternType="solid">
        <fgColor rgb="FFF5F5F5"/>
      </patternFill>
    </fill>
    <fill>
      <patternFill patternType="solid">
        <fgColor rgb="FFFFFFFF"/>
      </patternFill>
    </fill>
    <fill>
      <patternFill patternType="solid">
        <fgColor rgb="FFC9DAF8"/>
      </patternFill>
    </fill>
    <fill>
      <patternFill patternType="solid">
        <fgColor rgb="FFFFF158"/>
      </patternFill>
    </fill>
    <fill>
      <patternFill patternType="solid">
        <fgColor rgb="FF6FA8DC"/>
      </patternFill>
    </fill>
    <fill>
      <patternFill patternType="solid">
        <fgColor rgb="FFF3F3F3"/>
      </patternFill>
    </fill>
  </fills>
  <borders count="70">
    <border>
      <left/>
      <right/>
      <top/>
      <bottom/>
      <diagonal/>
    </border>
    <border>
      <left style="medium">
        <color rgb="FFFFF158"/>
      </left>
      <right style="medium">
        <color rgb="FFFFF158"/>
      </right>
      <top style="medium">
        <color rgb="FFFFF158"/>
      </top>
      <bottom style="medium">
        <color rgb="FFFFF158"/>
      </bottom>
      <diagonal/>
    </border>
    <border>
      <left style="medium">
        <color rgb="FFFFF158"/>
      </left>
      <right/>
      <top style="medium">
        <color rgb="FFFFF158"/>
      </top>
      <bottom style="medium">
        <color rgb="FFFFF158"/>
      </bottom>
      <diagonal/>
    </border>
    <border>
      <left/>
      <right/>
      <top style="medium">
        <color rgb="FFFFF158"/>
      </top>
      <bottom style="medium">
        <color rgb="FFFFF158"/>
      </bottom>
      <diagonal/>
    </border>
    <border>
      <left/>
      <right style="medium">
        <color rgb="FFFFF158"/>
      </right>
      <top style="medium">
        <color rgb="FFFFF158"/>
      </top>
      <bottom style="medium">
        <color rgb="FFFFF158"/>
      </bottom>
      <diagonal/>
    </border>
    <border>
      <left style="medium">
        <color rgb="FFFFF158"/>
      </left>
      <right/>
      <top style="medium">
        <color rgb="FFFFF158"/>
      </top>
      <bottom/>
      <diagonal/>
    </border>
    <border>
      <left/>
      <right/>
      <top style="medium">
        <color rgb="FFFFF158"/>
      </top>
      <bottom/>
      <diagonal/>
    </border>
    <border>
      <left/>
      <right style="medium">
        <color rgb="FFFFF158"/>
      </right>
      <top style="medium">
        <color rgb="FFFFF158"/>
      </top>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F5F5F5"/>
      </left>
      <right style="thin">
        <color rgb="FFF5F5F5"/>
      </right>
      <top style="thin">
        <color rgb="FFF5F5F5"/>
      </top>
      <bottom style="thin">
        <color rgb="FFF5F5F5"/>
      </bottom>
      <diagonal/>
    </border>
    <border>
      <left/>
      <right style="thin">
        <color rgb="FFD9D9D9"/>
      </right>
      <top style="thin">
        <color rgb="FFF5F5F5"/>
      </top>
      <bottom/>
      <diagonal/>
    </border>
    <border>
      <left/>
      <right style="medium">
        <color rgb="FFF9F9F9"/>
      </right>
      <top style="thin">
        <color rgb="FFF9F9F9"/>
      </top>
      <bottom/>
      <diagonal/>
    </border>
    <border>
      <left/>
      <right/>
      <top style="thin">
        <color rgb="FFF9F9F9"/>
      </top>
      <bottom style="medium">
        <color rgb="FFF9F9F9"/>
      </bottom>
      <diagonal/>
    </border>
    <border>
      <left/>
      <right style="medium">
        <color rgb="FFF9F9F9"/>
      </right>
      <top style="thin">
        <color rgb="FFF9F9F9"/>
      </top>
      <bottom style="medium">
        <color rgb="FFF9F9F9"/>
      </bottom>
      <diagonal/>
    </border>
    <border>
      <left style="medium">
        <color rgb="FFF5F5F5"/>
      </left>
      <right style="medium">
        <color rgb="FFF5F5F5"/>
      </right>
      <top/>
      <bottom style="medium">
        <color rgb="FFF5F5F5"/>
      </bottom>
      <diagonal/>
    </border>
    <border>
      <left/>
      <right style="thin">
        <color rgb="FFD9D9D9"/>
      </right>
      <top/>
      <bottom/>
      <diagonal/>
    </border>
    <border>
      <left/>
      <right style="medium">
        <color rgb="FFF9F9F9"/>
      </right>
      <top/>
      <bottom/>
      <diagonal/>
    </border>
    <border>
      <left style="medium">
        <color rgb="FFF9F9F9"/>
      </left>
      <right/>
      <top style="medium">
        <color rgb="FFF9F9F9"/>
      </top>
      <bottom style="medium">
        <color rgb="FFF9F9F9"/>
      </bottom>
      <diagonal/>
    </border>
    <border>
      <left/>
      <right/>
      <top style="medium">
        <color rgb="FFF9F9F9"/>
      </top>
      <bottom style="thin">
        <color rgb="FFF9F9F9"/>
      </bottom>
      <diagonal/>
    </border>
    <border>
      <left/>
      <right style="medium">
        <color rgb="FFF9F9F9"/>
      </right>
      <top style="medium">
        <color rgb="FFF9F9F9"/>
      </top>
      <bottom style="thin">
        <color rgb="FFF9F9F9"/>
      </bottom>
      <diagonal/>
    </border>
    <border>
      <left style="medium">
        <color rgb="FFF9F9F9"/>
      </left>
      <right style="medium">
        <color rgb="FFF9F9F9"/>
      </right>
      <top style="medium">
        <color rgb="FFF9F9F9"/>
      </top>
      <bottom style="medium">
        <color rgb="FFF9F9F9"/>
      </bottom>
      <diagonal/>
    </border>
    <border>
      <left style="medium">
        <color rgb="FFF5F5F5"/>
      </left>
      <right style="medium">
        <color rgb="FFF5F5F5"/>
      </right>
      <top style="medium">
        <color rgb="FFF5F5F5"/>
      </top>
      <bottom style="medium">
        <color rgb="FFF5F5F5"/>
      </bottom>
      <diagonal/>
    </border>
    <border>
      <left style="medium">
        <color rgb="FFF9F9F9"/>
      </left>
      <right style="thin">
        <color rgb="FFF9F9F9"/>
      </right>
      <top/>
      <bottom style="thin">
        <color rgb="FFF9F9F9"/>
      </bottom>
      <diagonal/>
    </border>
    <border>
      <left/>
      <right style="thin">
        <color rgb="FFF9F9F9"/>
      </right>
      <top/>
      <bottom style="thin">
        <color rgb="FFF9F9F9"/>
      </bottom>
      <diagonal/>
    </border>
    <border>
      <left/>
      <right style="thin">
        <color rgb="FFF9F9F9"/>
      </right>
      <top/>
      <bottom style="medium">
        <color rgb="FFF9F9F9"/>
      </bottom>
      <diagonal/>
    </border>
    <border>
      <left style="medium">
        <color rgb="FFF9F9F9"/>
      </left>
      <right style="medium">
        <color rgb="FFF9F9F9"/>
      </right>
      <top style="medium">
        <color rgb="FFF9F9F9"/>
      </top>
      <bottom/>
      <diagonal/>
    </border>
    <border>
      <left/>
      <right style="medium">
        <color rgb="FFF9F9F9"/>
      </right>
      <top/>
      <bottom style="thin">
        <color rgb="FFF9F9F9"/>
      </bottom>
      <diagonal/>
    </border>
    <border>
      <left/>
      <right/>
      <top/>
      <bottom style="thin">
        <color rgb="FFF9F9F9"/>
      </bottom>
      <diagonal/>
    </border>
    <border>
      <left style="medium">
        <color rgb="FFF8F8F8"/>
      </left>
      <right style="medium">
        <color rgb="FFF8F8F8"/>
      </right>
      <top style="medium">
        <color rgb="FFF8F8F8"/>
      </top>
      <bottom style="medium">
        <color rgb="FFF8F8F8"/>
      </bottom>
      <diagonal/>
    </border>
    <border>
      <left/>
      <right/>
      <top/>
      <bottom style="medium">
        <color rgb="FFF9F9F9"/>
      </bottom>
      <diagonal/>
    </border>
    <border>
      <left/>
      <right style="medium">
        <color rgb="FFF9F9F9"/>
      </right>
      <top style="medium">
        <color rgb="FFF9F9F9"/>
      </top>
      <bottom style="medium">
        <color rgb="FFF9F9F9"/>
      </bottom>
      <diagonal/>
    </border>
    <border>
      <left style="medium">
        <color rgb="FFF9F9F9"/>
      </left>
      <right/>
      <top/>
      <bottom/>
      <diagonal/>
    </border>
    <border>
      <left/>
      <right style="thin">
        <color rgb="FFF9F9F9"/>
      </right>
      <top/>
      <bottom/>
      <diagonal/>
    </border>
    <border>
      <left style="thin">
        <color rgb="FFF9F9F9"/>
      </left>
      <right style="thin">
        <color rgb="FFF9F9F9"/>
      </right>
      <top style="thin">
        <color rgb="FFF9F9F9"/>
      </top>
      <bottom style="thin">
        <color rgb="FFF9F9F9"/>
      </bottom>
      <diagonal/>
    </border>
    <border>
      <left/>
      <right style="thin">
        <color rgb="FFF9F9F9"/>
      </right>
      <top style="thin">
        <color rgb="FFF9F9F9"/>
      </top>
      <bottom style="thin">
        <color rgb="FFF9F9F9"/>
      </bottom>
      <diagonal/>
    </border>
    <border>
      <left/>
      <right style="medium">
        <color rgb="FFF9F9F9"/>
      </right>
      <top/>
      <bottom style="medium">
        <color rgb="FFF9F9F9"/>
      </bottom>
      <diagonal/>
    </border>
    <border>
      <left style="medium">
        <color rgb="FFF9F9F9"/>
      </left>
      <right/>
      <top/>
      <bottom style="medium">
        <color rgb="FFF9F9F9"/>
      </bottom>
      <diagonal/>
    </border>
    <border>
      <left/>
      <right style="medium">
        <color rgb="FFF8F8F8"/>
      </right>
      <top/>
      <bottom/>
      <diagonal/>
    </border>
    <border>
      <left style="medium">
        <color rgb="FFF9F9F9"/>
      </left>
      <right/>
      <top style="medium">
        <color rgb="FFF9F9F9"/>
      </top>
      <bottom style="medium">
        <color rgb="FFF9F9F9"/>
      </bottom>
      <diagonal/>
    </border>
    <border>
      <left/>
      <right/>
      <top/>
      <bottom style="medium">
        <color rgb="FFF8F8F8"/>
      </bottom>
      <diagonal/>
    </border>
    <border>
      <left/>
      <right style="medium">
        <color rgb="FFF8F8F8"/>
      </right>
      <top/>
      <bottom style="medium">
        <color rgb="FFF8F8F8"/>
      </bottom>
      <diagonal/>
    </border>
    <border>
      <left/>
      <right style="medium">
        <color rgb="FFF9F9F9"/>
      </right>
      <top style="medium">
        <color rgb="FFF9F9F9"/>
      </top>
      <bottom/>
      <diagonal/>
    </border>
    <border>
      <left style="medium">
        <color rgb="FFF9F9F9"/>
      </left>
      <right/>
      <top style="medium">
        <color rgb="FFF9F9F9"/>
      </top>
      <bottom/>
      <diagonal/>
    </border>
    <border>
      <left style="medium">
        <color rgb="FFF9F9F9"/>
      </left>
      <right style="medium">
        <color rgb="FFF9F9F9"/>
      </right>
      <top/>
      <bottom/>
      <diagonal/>
    </border>
    <border>
      <left style="thin">
        <color rgb="FFF9F9F9"/>
      </left>
      <right/>
      <top style="thin">
        <color rgb="FFF9F9F9"/>
      </top>
      <bottom/>
      <diagonal/>
    </border>
    <border>
      <left/>
      <right/>
      <top style="thin">
        <color rgb="FFF9F9F9"/>
      </top>
      <bottom/>
      <diagonal/>
    </border>
    <border>
      <left/>
      <right style="thin">
        <color rgb="FFF9F9F9"/>
      </right>
      <top style="thin">
        <color rgb="FFF9F9F9"/>
      </top>
      <bottom/>
      <diagonal/>
    </border>
    <border>
      <left style="thin">
        <color rgb="FFF9F9F9"/>
      </left>
      <right/>
      <top/>
      <bottom style="thin">
        <color rgb="FFF9F9F9"/>
      </bottom>
      <diagonal/>
    </border>
    <border>
      <left style="medium">
        <color rgb="FFF9F9F9"/>
      </left>
      <right/>
      <top style="medium">
        <color rgb="FFF9F9F9"/>
      </top>
      <bottom style="thin">
        <color rgb="FFF9F9F9"/>
      </bottom>
      <diagonal/>
    </border>
    <border>
      <left style="medium">
        <color rgb="FFF9F9F9"/>
      </left>
      <right style="medium">
        <color rgb="FFF9F9F9"/>
      </right>
      <top/>
      <bottom style="medium">
        <color rgb="FFF9F9F9"/>
      </bottom>
      <diagonal/>
    </border>
    <border>
      <left style="medium">
        <color rgb="FFF9F9F9"/>
      </left>
      <right/>
      <top style="thin">
        <color rgb="FFD9D9D9"/>
      </top>
      <bottom style="medium">
        <color rgb="FFF9F9F9"/>
      </bottom>
      <diagonal/>
    </border>
    <border>
      <left/>
      <right/>
      <top style="thin">
        <color rgb="FFD9D9D9"/>
      </top>
      <bottom style="medium">
        <color rgb="FFF9F9F9"/>
      </bottom>
      <diagonal/>
    </border>
    <border>
      <left/>
      <right style="medium">
        <color rgb="FFF9F9F9"/>
      </right>
      <top style="thin">
        <color rgb="FFD9D9D9"/>
      </top>
      <bottom style="medium">
        <color rgb="FFF9F9F9"/>
      </bottom>
      <diagonal/>
    </border>
    <border>
      <left style="thin">
        <color rgb="FFBDBDBD"/>
      </left>
      <right/>
      <top style="thin">
        <color rgb="FFBDBDBD"/>
      </top>
      <bottom style="thin">
        <color rgb="FFBDBDBD"/>
      </bottom>
      <diagonal/>
    </border>
    <border>
      <left/>
      <right/>
      <top style="thin">
        <color rgb="FFBDBDBD"/>
      </top>
      <bottom style="thin">
        <color rgb="FFBDBDBD"/>
      </bottom>
      <diagonal/>
    </border>
    <border>
      <left/>
      <right style="thin">
        <color rgb="FFBDBDBD"/>
      </right>
      <top style="thin">
        <color rgb="FFBDBDBD"/>
      </top>
      <bottom style="thin">
        <color rgb="FFBDBDBD"/>
      </bottom>
      <diagonal/>
    </border>
    <border>
      <left style="thin">
        <color rgb="FFF9F9F9"/>
      </left>
      <right/>
      <top/>
      <bottom/>
      <diagonal/>
    </border>
    <border>
      <left style="hair">
        <color rgb="FFD6D6D6"/>
      </left>
      <right/>
      <top style="hair">
        <color rgb="FFD6D6D6"/>
      </top>
      <bottom style="hair">
        <color rgb="FFD6D6D6"/>
      </bottom>
      <diagonal/>
    </border>
    <border>
      <left/>
      <right/>
      <top style="hair">
        <color rgb="FFD6D6D6"/>
      </top>
      <bottom style="hair">
        <color rgb="FFD6D6D6"/>
      </bottom>
      <diagonal/>
    </border>
    <border>
      <left/>
      <right style="hair">
        <color rgb="FFD6D6D6"/>
      </right>
      <top style="hair">
        <color rgb="FFD6D6D6"/>
      </top>
      <bottom style="hair">
        <color rgb="FFD6D6D6"/>
      </bottom>
      <diagonal/>
    </border>
    <border>
      <left style="thin">
        <color rgb="FFF9F9F9"/>
      </left>
      <right style="thin">
        <color rgb="FFF9F9F9"/>
      </right>
      <top/>
      <bottom style="thin">
        <color rgb="FFF9F9F9"/>
      </bottom>
      <diagonal/>
    </border>
    <border>
      <left/>
      <right/>
      <top style="medium">
        <color rgb="FFF9F9F9"/>
      </top>
      <bottom style="medium">
        <color rgb="FFF9F9F9"/>
      </bottom>
      <diagonal/>
    </border>
    <border>
      <left/>
      <right style="thin">
        <color rgb="FFD9D9D9"/>
      </right>
      <top/>
      <bottom style="medium">
        <color rgb="FFF5F5F5"/>
      </bottom>
      <diagonal/>
    </border>
    <border>
      <left style="dotted">
        <color rgb="FF999999"/>
      </left>
      <right style="dotted">
        <color rgb="FF999999"/>
      </right>
      <top style="dotted">
        <color rgb="FF999999"/>
      </top>
      <bottom style="dotted">
        <color rgb="FF999999"/>
      </bottom>
      <diagonal/>
    </border>
    <border>
      <left style="thin">
        <color rgb="FFB7B7B7"/>
      </left>
      <right style="thin">
        <color rgb="FFB7B7B7"/>
      </right>
      <top style="thin">
        <color rgb="FFB7B7B7"/>
      </top>
      <bottom style="thin">
        <color rgb="FFB7B7B7"/>
      </bottom>
      <diagonal/>
    </border>
    <border>
      <left style="thin">
        <color rgb="FFFFD966"/>
      </left>
      <right style="thin">
        <color rgb="FFFFD966"/>
      </right>
      <top style="thin">
        <color rgb="FFFFD966"/>
      </top>
      <bottom style="thin">
        <color rgb="FFFFD966"/>
      </bottom>
      <diagonal/>
    </border>
    <border>
      <left style="thin">
        <color rgb="FFCFCFCF"/>
      </left>
      <right style="thin">
        <color rgb="FFCFCFCF"/>
      </right>
      <top style="thin">
        <color rgb="FFCFCFCF"/>
      </top>
      <bottom style="thin">
        <color rgb="FFCFCFCF"/>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11">
    <xf numFmtId="49" fontId="0" fillId="0" borderId="0" xfId="0" applyNumberFormat="1"/>
    <xf numFmtId="0" fontId="1" fillId="2" borderId="1" xfId="0" applyFont="1" applyFill="1" applyBorder="1" applyAlignment="1">
      <alignment horizontal="center" vertical="center"/>
    </xf>
    <xf numFmtId="0" fontId="5" fillId="4" borderId="11" xfId="0" applyFont="1" applyFill="1" applyBorder="1"/>
    <xf numFmtId="0" fontId="5" fillId="4" borderId="16" xfId="0" applyFont="1" applyFill="1" applyBorder="1"/>
    <xf numFmtId="0" fontId="6" fillId="4" borderId="16" xfId="0" applyFont="1" applyFill="1" applyBorder="1"/>
    <xf numFmtId="0" fontId="7" fillId="5" borderId="19" xfId="0" applyFont="1" applyFill="1" applyBorder="1"/>
    <xf numFmtId="0" fontId="5" fillId="5" borderId="20" xfId="0" applyFont="1" applyFill="1" applyBorder="1"/>
    <xf numFmtId="0" fontId="5" fillId="5" borderId="21" xfId="0" applyFont="1" applyFill="1" applyBorder="1"/>
    <xf numFmtId="0" fontId="5" fillId="5" borderId="22" xfId="0" applyFont="1" applyFill="1" applyBorder="1"/>
    <xf numFmtId="0" fontId="5" fillId="4" borderId="23" xfId="0" applyFont="1" applyFill="1" applyBorder="1"/>
    <xf numFmtId="49" fontId="5" fillId="4" borderId="23" xfId="0" applyNumberFormat="1" applyFont="1" applyFill="1" applyBorder="1" applyAlignment="1">
      <alignment horizontal="right"/>
    </xf>
    <xf numFmtId="0" fontId="5" fillId="5" borderId="24" xfId="0" applyFont="1" applyFill="1" applyBorder="1"/>
    <xf numFmtId="0" fontId="5" fillId="5" borderId="25" xfId="0" applyFont="1" applyFill="1" applyBorder="1"/>
    <xf numFmtId="0" fontId="5" fillId="5" borderId="26" xfId="0" applyFont="1" applyFill="1" applyBorder="1"/>
    <xf numFmtId="0" fontId="5" fillId="5" borderId="27" xfId="0" applyFont="1" applyFill="1" applyBorder="1"/>
    <xf numFmtId="0" fontId="5" fillId="4" borderId="23" xfId="0" applyFont="1" applyFill="1" applyBorder="1" applyAlignment="1">
      <alignment vertical="center"/>
    </xf>
    <xf numFmtId="0" fontId="5" fillId="5" borderId="28" xfId="0" applyFont="1" applyFill="1" applyBorder="1"/>
    <xf numFmtId="0" fontId="8" fillId="6" borderId="30" xfId="0" applyFont="1" applyFill="1" applyBorder="1" applyAlignment="1">
      <alignment vertical="center" wrapText="1"/>
    </xf>
    <xf numFmtId="0" fontId="5" fillId="5" borderId="25" xfId="0" applyFont="1" applyFill="1" applyBorder="1" applyAlignment="1">
      <alignment vertical="top"/>
    </xf>
    <xf numFmtId="0" fontId="5" fillId="6" borderId="30" xfId="0" applyFont="1" applyFill="1" applyBorder="1"/>
    <xf numFmtId="0" fontId="5" fillId="5" borderId="32" xfId="0" applyFont="1" applyFill="1" applyBorder="1"/>
    <xf numFmtId="0" fontId="5" fillId="5" borderId="35" xfId="0" applyFont="1" applyFill="1" applyBorder="1"/>
    <xf numFmtId="0" fontId="5" fillId="5" borderId="36" xfId="0" applyFont="1" applyFill="1" applyBorder="1"/>
    <xf numFmtId="0" fontId="5" fillId="5" borderId="37" xfId="0" applyFont="1" applyFill="1" applyBorder="1"/>
    <xf numFmtId="0" fontId="5" fillId="5" borderId="38" xfId="0" applyFont="1" applyFill="1" applyBorder="1"/>
    <xf numFmtId="0" fontId="5" fillId="5" borderId="40" xfId="0" applyFont="1" applyFill="1" applyBorder="1"/>
    <xf numFmtId="0" fontId="5" fillId="5" borderId="43" xfId="0" applyFont="1" applyFill="1" applyBorder="1"/>
    <xf numFmtId="0" fontId="5" fillId="5" borderId="44" xfId="0" applyFont="1" applyFill="1" applyBorder="1"/>
    <xf numFmtId="0" fontId="5" fillId="5" borderId="45" xfId="0" applyFont="1" applyFill="1" applyBorder="1"/>
    <xf numFmtId="0" fontId="8" fillId="6" borderId="35" xfId="0" applyFont="1" applyFill="1" applyBorder="1" applyAlignment="1">
      <alignment vertical="center" wrapText="1"/>
    </xf>
    <xf numFmtId="49" fontId="5" fillId="4" borderId="23" xfId="0" applyNumberFormat="1" applyFont="1" applyFill="1" applyBorder="1" applyAlignment="1">
      <alignment vertical="center"/>
    </xf>
    <xf numFmtId="0" fontId="5" fillId="5" borderId="50" xfId="0" applyFont="1" applyFill="1" applyBorder="1"/>
    <xf numFmtId="0" fontId="5" fillId="5" borderId="51" xfId="0" applyFont="1" applyFill="1" applyBorder="1"/>
    <xf numFmtId="0" fontId="7" fillId="5" borderId="22" xfId="0" applyFont="1" applyFill="1" applyBorder="1"/>
    <xf numFmtId="0" fontId="9" fillId="5" borderId="22" xfId="0" applyFont="1" applyFill="1" applyBorder="1"/>
    <xf numFmtId="0" fontId="9" fillId="5" borderId="27" xfId="0" applyFont="1" applyFill="1" applyBorder="1"/>
    <xf numFmtId="0" fontId="8" fillId="5" borderId="22" xfId="0" applyFont="1" applyFill="1" applyBorder="1" applyAlignment="1">
      <alignment vertical="center"/>
    </xf>
    <xf numFmtId="0" fontId="8" fillId="5" borderId="27" xfId="0" applyFont="1" applyFill="1" applyBorder="1" applyAlignment="1">
      <alignment vertical="center"/>
    </xf>
    <xf numFmtId="0" fontId="5" fillId="5" borderId="62" xfId="0" applyFont="1" applyFill="1" applyBorder="1"/>
    <xf numFmtId="0" fontId="14" fillId="9" borderId="0" xfId="0" applyFont="1" applyFill="1" applyProtection="1">
      <protection locked="0"/>
    </xf>
    <xf numFmtId="0" fontId="17" fillId="11" borderId="0" xfId="0" applyFont="1" applyFill="1" applyProtection="1">
      <protection locked="0"/>
    </xf>
    <xf numFmtId="0" fontId="18" fillId="11" borderId="0" xfId="0" applyFont="1" applyFill="1" applyProtection="1">
      <protection locked="0"/>
    </xf>
    <xf numFmtId="0" fontId="19" fillId="0" borderId="0" xfId="0" applyFont="1" applyProtection="1">
      <protection locked="0"/>
    </xf>
    <xf numFmtId="0" fontId="22" fillId="14" borderId="67" xfId="0" applyFont="1" applyFill="1" applyBorder="1" applyAlignment="1" applyProtection="1">
      <alignment horizontal="center" vertical="center"/>
      <protection locked="0"/>
    </xf>
    <xf numFmtId="0" fontId="23" fillId="15" borderId="68" xfId="0" applyFont="1" applyFill="1" applyBorder="1" applyAlignment="1" applyProtection="1">
      <alignment horizontal="center" vertical="center" wrapText="1"/>
      <protection locked="0"/>
    </xf>
    <xf numFmtId="0" fontId="24" fillId="10" borderId="69" xfId="0" applyFont="1" applyFill="1" applyBorder="1" applyAlignment="1">
      <alignment horizontal="center" vertical="center"/>
    </xf>
    <xf numFmtId="0" fontId="25" fillId="0" borderId="69" xfId="0" applyFont="1" applyBorder="1" applyAlignment="1" applyProtection="1">
      <alignment horizontal="center" vertical="center"/>
      <protection locked="0"/>
    </xf>
    <xf numFmtId="0" fontId="26" fillId="0" borderId="69" xfId="0" applyFont="1" applyBorder="1" applyAlignment="1" applyProtection="1">
      <alignment horizontal="left" vertical="center"/>
      <protection locked="0"/>
    </xf>
    <xf numFmtId="0" fontId="2" fillId="2" borderId="2" xfId="0" applyFont="1" applyFill="1" applyBorder="1" applyAlignment="1">
      <alignment horizontal="left" vertical="center"/>
    </xf>
    <xf numFmtId="0" fontId="3" fillId="0" borderId="3" xfId="0" applyFont="1" applyBorder="1"/>
    <xf numFmtId="0" fontId="3" fillId="0" borderId="4" xfId="0" applyFont="1" applyBorder="1"/>
    <xf numFmtId="0" fontId="4" fillId="2" borderId="0" xfId="0" applyFont="1" applyFill="1" applyAlignment="1">
      <alignment horizontal="left"/>
    </xf>
    <xf numFmtId="49" fontId="0" fillId="0" borderId="0" xfId="0" applyNumberFormat="1"/>
    <xf numFmtId="0" fontId="1" fillId="2" borderId="5" xfId="0" applyFont="1" applyFill="1" applyBorder="1" applyAlignment="1">
      <alignment horizontal="center" vertical="center"/>
    </xf>
    <xf numFmtId="0" fontId="3" fillId="0" borderId="6" xfId="0" applyFont="1" applyBorder="1"/>
    <xf numFmtId="0" fontId="3" fillId="0" borderId="7" xfId="0" applyFont="1" applyBorder="1"/>
    <xf numFmtId="0" fontId="1" fillId="3" borderId="8" xfId="0" applyFont="1" applyFill="1" applyBorder="1" applyAlignment="1">
      <alignment horizontal="center" vertical="center"/>
    </xf>
    <xf numFmtId="0" fontId="3" fillId="0" borderId="9" xfId="0" applyFont="1" applyBorder="1"/>
    <xf numFmtId="0" fontId="3" fillId="0" borderId="10" xfId="0" applyFont="1" applyBorder="1"/>
    <xf numFmtId="0" fontId="5" fillId="4" borderId="12" xfId="0" applyFont="1" applyFill="1" applyBorder="1"/>
    <xf numFmtId="0" fontId="3" fillId="0" borderId="17" xfId="0" applyFont="1" applyBorder="1"/>
    <xf numFmtId="0" fontId="3" fillId="0" borderId="64" xfId="0" applyFont="1" applyBorder="1"/>
    <xf numFmtId="0" fontId="5" fillId="5" borderId="13" xfId="0" applyFont="1" applyFill="1" applyBorder="1"/>
    <xf numFmtId="0" fontId="3" fillId="0" borderId="18" xfId="0" applyFont="1" applyBorder="1"/>
    <xf numFmtId="0" fontId="3" fillId="0" borderId="37" xfId="0" applyFont="1" applyBorder="1"/>
    <xf numFmtId="0" fontId="5" fillId="5" borderId="14" xfId="0" applyFont="1" applyFill="1" applyBorder="1"/>
    <xf numFmtId="0" fontId="3" fillId="0" borderId="14" xfId="0" applyFont="1" applyBorder="1"/>
    <xf numFmtId="0" fontId="3" fillId="0" borderId="15" xfId="0" applyFont="1" applyBorder="1"/>
    <xf numFmtId="0" fontId="15" fillId="9" borderId="0" xfId="0" applyFont="1" applyFill="1" applyAlignment="1" applyProtection="1">
      <alignment vertical="center" wrapText="1"/>
      <protection locked="0"/>
    </xf>
    <xf numFmtId="0" fontId="3" fillId="0" borderId="31" xfId="0" applyFont="1" applyBorder="1"/>
    <xf numFmtId="0" fontId="11" fillId="5" borderId="40" xfId="0" applyFont="1" applyFill="1" applyBorder="1" applyAlignment="1">
      <alignment horizontal="left" vertical="center"/>
    </xf>
    <xf numFmtId="0" fontId="3" fillId="0" borderId="63" xfId="0" applyFont="1" applyBorder="1"/>
    <xf numFmtId="0" fontId="3" fillId="0" borderId="32" xfId="0" applyFont="1" applyBorder="1"/>
    <xf numFmtId="0" fontId="8" fillId="5" borderId="29" xfId="0" applyFont="1" applyFill="1" applyBorder="1"/>
    <xf numFmtId="0" fontId="3" fillId="0" borderId="29" xfId="0" applyFont="1" applyBorder="1"/>
    <xf numFmtId="0" fontId="3" fillId="0" borderId="28" xfId="0" applyFont="1" applyBorder="1"/>
    <xf numFmtId="0" fontId="12" fillId="9" borderId="0" xfId="0" applyFont="1" applyFill="1" applyProtection="1">
      <protection locked="0"/>
    </xf>
    <xf numFmtId="0" fontId="3" fillId="0" borderId="26" xfId="0" applyFont="1" applyBorder="1"/>
    <xf numFmtId="0" fontId="13" fillId="9" borderId="0" xfId="0" applyFont="1" applyFill="1" applyAlignment="1" applyProtection="1">
      <alignment horizontal="left" vertical="center"/>
      <protection locked="0"/>
    </xf>
    <xf numFmtId="0" fontId="5" fillId="5" borderId="0" xfId="0" applyFont="1" applyFill="1"/>
    <xf numFmtId="0" fontId="7" fillId="5" borderId="33" xfId="0" applyFont="1" applyFill="1" applyBorder="1"/>
    <xf numFmtId="0" fontId="3" fillId="0" borderId="34" xfId="0" applyFont="1" applyBorder="1"/>
    <xf numFmtId="0" fontId="8" fillId="6" borderId="0" xfId="0" applyFont="1" applyFill="1" applyAlignment="1">
      <alignment vertical="center" wrapText="1"/>
    </xf>
    <xf numFmtId="0" fontId="3" fillId="0" borderId="39" xfId="0" applyFont="1" applyBorder="1"/>
    <xf numFmtId="0" fontId="3" fillId="0" borderId="41" xfId="0" applyFont="1" applyBorder="1"/>
    <xf numFmtId="0" fontId="3" fillId="0" borderId="42" xfId="0" applyFont="1" applyBorder="1"/>
    <xf numFmtId="0" fontId="8" fillId="6" borderId="46" xfId="0" applyFont="1" applyFill="1" applyBorder="1" applyAlignment="1">
      <alignment vertical="center" wrapText="1"/>
    </xf>
    <xf numFmtId="0" fontId="3" fillId="0" borderId="47" xfId="0" applyFont="1" applyBorder="1"/>
    <xf numFmtId="0" fontId="3" fillId="0" borderId="48" xfId="0" applyFont="1" applyBorder="1"/>
    <xf numFmtId="0" fontId="3" fillId="0" borderId="49" xfId="0" applyFont="1" applyBorder="1"/>
    <xf numFmtId="0" fontId="3" fillId="0" borderId="25" xfId="0" applyFont="1" applyBorder="1"/>
    <xf numFmtId="0" fontId="8" fillId="5" borderId="46" xfId="0" applyFont="1" applyFill="1" applyBorder="1" applyAlignment="1">
      <alignment vertical="center" wrapText="1"/>
    </xf>
    <xf numFmtId="0" fontId="5" fillId="5" borderId="52" xfId="0" applyFont="1" applyFill="1" applyBorder="1"/>
    <xf numFmtId="0" fontId="3" fillId="0" borderId="53" xfId="0" applyFont="1" applyBorder="1"/>
    <xf numFmtId="0" fontId="3" fillId="0" borderId="54" xfId="0" applyFont="1" applyBorder="1"/>
    <xf numFmtId="0" fontId="5" fillId="7" borderId="55" xfId="0" applyFont="1" applyFill="1" applyBorder="1"/>
    <xf numFmtId="0" fontId="3" fillId="0" borderId="56" xfId="0" applyFont="1" applyBorder="1"/>
    <xf numFmtId="0" fontId="3" fillId="0" borderId="57" xfId="0" applyFont="1" applyBorder="1"/>
    <xf numFmtId="0" fontId="5" fillId="5" borderId="58" xfId="0" applyFont="1" applyFill="1" applyBorder="1"/>
    <xf numFmtId="0" fontId="16" fillId="10" borderId="65" xfId="0" applyFont="1" applyFill="1" applyBorder="1" applyAlignment="1">
      <alignment horizontal="center" vertical="center"/>
    </xf>
    <xf numFmtId="0" fontId="3" fillId="0" borderId="60" xfId="0" applyFont="1" applyBorder="1"/>
    <xf numFmtId="0" fontId="3" fillId="0" borderId="61" xfId="0" applyFont="1" applyBorder="1"/>
    <xf numFmtId="0" fontId="10" fillId="8" borderId="59" xfId="0" applyFont="1" applyFill="1" applyBorder="1" applyAlignment="1">
      <alignment horizontal="center" vertical="center"/>
    </xf>
    <xf numFmtId="0" fontId="20" fillId="12" borderId="66" xfId="0" applyFont="1" applyFill="1" applyBorder="1" applyAlignment="1" applyProtection="1">
      <alignment horizontal="left" vertical="center"/>
      <protection locked="0"/>
    </xf>
    <xf numFmtId="0" fontId="21" fillId="13" borderId="66" xfId="0" applyFont="1" applyFill="1" applyBorder="1" applyAlignment="1" applyProtection="1">
      <alignment horizontal="center" vertical="center"/>
      <protection locked="0"/>
    </xf>
    <xf numFmtId="0" fontId="27" fillId="16" borderId="69" xfId="0" applyFont="1" applyFill="1" applyBorder="1" applyAlignment="1">
      <alignment horizontal="center" vertical="center"/>
    </xf>
    <xf numFmtId="0" fontId="10" fillId="10" borderId="69" xfId="0" applyFont="1" applyFill="1" applyBorder="1" applyAlignment="1">
      <alignment horizontal="center" vertical="center"/>
    </xf>
    <xf numFmtId="0" fontId="3" fillId="0" borderId="69" xfId="0" applyFont="1" applyBorder="1" applyAlignment="1" applyProtection="1">
      <alignment horizontal="left" vertical="center"/>
      <protection locked="0"/>
    </xf>
    <xf numFmtId="0" fontId="3" fillId="0" borderId="69" xfId="0" applyFont="1" applyBorder="1" applyAlignment="1" applyProtection="1">
      <alignment horizontal="center" vertical="center"/>
      <protection locked="0"/>
    </xf>
    <xf numFmtId="0" fontId="3" fillId="0" borderId="69" xfId="0" applyFont="1" applyBorder="1" applyAlignment="1" applyProtection="1">
      <alignment horizontal="left" vertical="center" wrapText="1"/>
      <protection locked="0"/>
    </xf>
    <xf numFmtId="0" fontId="3" fillId="0" borderId="69" xfId="0" applyFont="1" applyBorder="1" applyAlignment="1" applyProtection="1">
      <alignment horizontal="center" vertical="center" wrapText="1"/>
      <protection locked="0"/>
    </xf>
  </cellXfs>
  <cellStyles count="1">
    <cellStyle name="Normal" xfId="0" builtinId="0"/>
  </cellStyles>
  <dxfs count="91">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ont>
        <color indexed="55"/>
      </font>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85725</xdr:colOff>
      <xdr:row>17</xdr:row>
      <xdr:rowOff>85725</xdr:rowOff>
    </xdr:from>
    <xdr:ext cx="1143000" cy="333375"/>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104775</xdr:colOff>
      <xdr:row>20</xdr:row>
      <xdr:rowOff>76200</xdr:rowOff>
    </xdr:from>
    <xdr:ext cx="1152525" cy="342900"/>
    <xdr:pic>
      <xdr:nvPicPr>
        <xdr:cNvPr id="3" name="image3.png" title="Imagen">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209550</xdr:colOff>
      <xdr:row>8</xdr:row>
      <xdr:rowOff>104775</xdr:rowOff>
    </xdr:from>
    <xdr:ext cx="495300" cy="495300"/>
    <xdr:pic>
      <xdr:nvPicPr>
        <xdr:cNvPr id="4" name="image4.png" title="Imagen">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85725</xdr:colOff>
      <xdr:row>14</xdr:row>
      <xdr:rowOff>104775</xdr:rowOff>
    </xdr:from>
    <xdr:ext cx="1152525" cy="333375"/>
    <xdr:pic>
      <xdr:nvPicPr>
        <xdr:cNvPr id="5" name="image2.png" title="Imagen">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5</xdr:col>
      <xdr:colOff>447675</xdr:colOff>
      <xdr:row>35</xdr:row>
      <xdr:rowOff>76200</xdr:rowOff>
    </xdr:from>
    <xdr:ext cx="1019175" cy="390525"/>
    <xdr:pic>
      <xdr:nvPicPr>
        <xdr:cNvPr id="6" name="image6.png" title="Imagen">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0</xdr:colOff>
      <xdr:row>1</xdr:row>
      <xdr:rowOff>0</xdr:rowOff>
    </xdr:from>
    <xdr:ext cx="400050" cy="285750"/>
    <xdr:pic>
      <xdr:nvPicPr>
        <xdr:cNvPr id="7" name="image5.pn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mercadolivre.com.br/anuncios/edicao-em-excel/uplo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155CC"/>
    <outlinePr summaryBelow="0" summaryRight="0"/>
  </sheetPr>
  <dimension ref="A1:O1000"/>
  <sheetViews>
    <sheetView workbookViewId="0"/>
  </sheetViews>
  <sheetFormatPr defaultColWidth="12.61328125" defaultRowHeight="15" customHeight="1" x14ac:dyDescent="0.3"/>
  <cols>
    <col min="1" max="1" width="12.15234375" customWidth="1"/>
    <col min="2" max="2" width="6.23046875" customWidth="1"/>
    <col min="3" max="3" width="1.23046875" customWidth="1"/>
    <col min="4" max="4" width="32" customWidth="1"/>
    <col min="5" max="7" width="6.15234375" customWidth="1"/>
    <col min="8" max="10" width="7.61328125" customWidth="1"/>
    <col min="11" max="11" width="1.84375" customWidth="1"/>
    <col min="12" max="14" width="14.3828125" customWidth="1"/>
    <col min="15" max="15" width="12.15234375" customWidth="1"/>
    <col min="16" max="26" width="14.3828125" customWidth="1"/>
  </cols>
  <sheetData>
    <row r="1" spans="1:15" ht="24" customHeight="1" x14ac:dyDescent="0.3">
      <c r="A1" s="1"/>
      <c r="B1" s="1"/>
      <c r="C1" s="1"/>
      <c r="D1" s="1"/>
      <c r="E1" s="1"/>
      <c r="F1" s="1"/>
      <c r="G1" s="1"/>
      <c r="H1" s="1"/>
      <c r="I1" s="1"/>
      <c r="J1" s="1"/>
      <c r="K1" s="1"/>
      <c r="L1" s="1"/>
      <c r="M1" s="1"/>
      <c r="N1" s="1"/>
      <c r="O1" s="1"/>
    </row>
    <row r="2" spans="1:15" ht="22.5" customHeight="1" x14ac:dyDescent="0.3">
      <c r="A2" s="1"/>
      <c r="B2" s="48" t="s">
        <v>0</v>
      </c>
      <c r="C2" s="49"/>
      <c r="D2" s="49"/>
      <c r="E2" s="49"/>
      <c r="F2" s="49"/>
      <c r="G2" s="49"/>
      <c r="H2" s="49"/>
      <c r="I2" s="49"/>
      <c r="J2" s="49"/>
      <c r="K2" s="49"/>
      <c r="L2" s="49"/>
      <c r="M2" s="49"/>
      <c r="N2" s="50"/>
      <c r="O2" s="1"/>
    </row>
    <row r="3" spans="1:15" ht="18.75" customHeight="1" x14ac:dyDescent="0.35">
      <c r="A3" s="1"/>
      <c r="B3" s="51" t="s">
        <v>1</v>
      </c>
      <c r="C3" s="52"/>
      <c r="D3" s="52"/>
      <c r="E3" s="52"/>
      <c r="F3" s="52"/>
      <c r="G3" s="52"/>
      <c r="H3" s="52"/>
      <c r="I3" s="52"/>
      <c r="J3" s="52"/>
      <c r="K3" s="52"/>
      <c r="L3" s="52"/>
      <c r="M3" s="52"/>
      <c r="N3" s="52"/>
      <c r="O3" s="1"/>
    </row>
    <row r="4" spans="1:15" ht="30" customHeight="1" x14ac:dyDescent="0.3">
      <c r="A4" s="53"/>
      <c r="B4" s="54"/>
      <c r="C4" s="54"/>
      <c r="D4" s="54"/>
      <c r="E4" s="54"/>
      <c r="F4" s="54"/>
      <c r="G4" s="54"/>
      <c r="H4" s="54"/>
      <c r="I4" s="54"/>
      <c r="J4" s="54"/>
      <c r="K4" s="54"/>
      <c r="L4" s="54"/>
      <c r="M4" s="54"/>
      <c r="N4" s="54"/>
      <c r="O4" s="55"/>
    </row>
    <row r="5" spans="1:15" ht="3" customHeight="1" x14ac:dyDescent="0.3">
      <c r="A5" s="56"/>
      <c r="B5" s="57"/>
      <c r="C5" s="57"/>
      <c r="D5" s="57"/>
      <c r="E5" s="57"/>
      <c r="F5" s="57"/>
      <c r="G5" s="57"/>
      <c r="H5" s="57"/>
      <c r="I5" s="57"/>
      <c r="J5" s="57"/>
      <c r="K5" s="57"/>
      <c r="L5" s="57"/>
      <c r="M5" s="57"/>
      <c r="N5" s="57"/>
      <c r="O5" s="58"/>
    </row>
    <row r="6" spans="1:15" ht="24" customHeight="1" x14ac:dyDescent="0.3">
      <c r="A6" s="2"/>
      <c r="B6" s="2"/>
      <c r="C6" s="2"/>
      <c r="D6" s="2"/>
      <c r="E6" s="59"/>
      <c r="F6" s="62"/>
      <c r="G6" s="65"/>
      <c r="H6" s="66"/>
      <c r="I6" s="66"/>
      <c r="J6" s="66"/>
      <c r="K6" s="66"/>
      <c r="L6" s="66"/>
      <c r="M6" s="66"/>
      <c r="N6" s="66"/>
      <c r="O6" s="67"/>
    </row>
    <row r="7" spans="1:15" ht="18.75" customHeight="1" x14ac:dyDescent="0.4">
      <c r="A7" s="3"/>
      <c r="B7" s="4" t="s">
        <v>2</v>
      </c>
      <c r="C7" s="3"/>
      <c r="D7" s="3"/>
      <c r="E7" s="60"/>
      <c r="F7" s="63"/>
      <c r="G7" s="5" t="s">
        <v>3</v>
      </c>
      <c r="H7" s="6"/>
      <c r="I7" s="7"/>
      <c r="J7" s="7"/>
      <c r="K7" s="7"/>
      <c r="L7" s="7"/>
      <c r="M7" s="7"/>
      <c r="N7" s="7"/>
      <c r="O7" s="8"/>
    </row>
    <row r="8" spans="1:15" ht="18.75" customHeight="1" x14ac:dyDescent="0.3">
      <c r="A8" s="9"/>
      <c r="B8" s="10"/>
      <c r="C8" s="9"/>
      <c r="D8" s="9"/>
      <c r="E8" s="60"/>
      <c r="F8" s="63"/>
      <c r="G8" s="11"/>
      <c r="H8" s="12"/>
      <c r="I8" s="13"/>
      <c r="J8" s="13"/>
      <c r="K8" s="13"/>
      <c r="L8" s="13"/>
      <c r="M8" s="13"/>
      <c r="N8" s="13"/>
      <c r="O8" s="14"/>
    </row>
    <row r="9" spans="1:15" ht="18.75" customHeight="1" x14ac:dyDescent="0.3">
      <c r="A9" s="9"/>
      <c r="B9" s="40" t="s">
        <v>20</v>
      </c>
      <c r="C9" s="15"/>
      <c r="D9" s="41" t="s">
        <v>21</v>
      </c>
      <c r="E9" s="60"/>
      <c r="F9" s="63"/>
      <c r="G9" s="11"/>
      <c r="H9" s="16"/>
      <c r="I9" s="73" t="s">
        <v>4</v>
      </c>
      <c r="J9" s="74"/>
      <c r="K9" s="74"/>
      <c r="L9" s="74"/>
      <c r="M9" s="74"/>
      <c r="N9" s="75"/>
      <c r="O9" s="17"/>
    </row>
    <row r="10" spans="1:15" ht="18.75" customHeight="1" x14ac:dyDescent="0.3">
      <c r="A10" s="9"/>
      <c r="B10" s="40" t="s">
        <v>22</v>
      </c>
      <c r="C10" s="15"/>
      <c r="D10" s="41" t="s">
        <v>23</v>
      </c>
      <c r="E10" s="60"/>
      <c r="F10" s="63"/>
      <c r="G10" s="11"/>
      <c r="H10" s="18"/>
      <c r="I10" s="76" t="s">
        <v>14</v>
      </c>
      <c r="J10" s="69"/>
      <c r="K10" s="69"/>
      <c r="L10" s="69"/>
      <c r="M10" s="69"/>
      <c r="N10" s="77"/>
      <c r="O10" s="17"/>
    </row>
    <row r="11" spans="1:15" ht="18.75" customHeight="1" x14ac:dyDescent="0.3">
      <c r="A11" s="9"/>
      <c r="B11" s="40" t="s">
        <v>20</v>
      </c>
      <c r="C11" s="15"/>
      <c r="D11" s="41" t="s">
        <v>24</v>
      </c>
      <c r="E11" s="60"/>
      <c r="F11" s="63"/>
      <c r="G11" s="11"/>
      <c r="H11" s="16"/>
      <c r="I11" s="78" t="s">
        <v>15</v>
      </c>
      <c r="J11" s="74"/>
      <c r="K11" s="74"/>
      <c r="L11" s="74"/>
      <c r="M11" s="74"/>
      <c r="N11" s="75"/>
      <c r="O11" s="19"/>
    </row>
    <row r="12" spans="1:15" ht="19.5" customHeight="1" x14ac:dyDescent="0.3">
      <c r="A12" s="9"/>
      <c r="B12" s="40" t="s">
        <v>25</v>
      </c>
      <c r="C12" s="15"/>
      <c r="D12" s="41" t="s">
        <v>26</v>
      </c>
      <c r="E12" s="60"/>
      <c r="F12" s="63"/>
      <c r="G12" s="79"/>
      <c r="H12" s="52"/>
      <c r="I12" s="52"/>
      <c r="J12" s="52"/>
      <c r="K12" s="52"/>
      <c r="L12" s="52"/>
      <c r="M12" s="52"/>
      <c r="N12" s="63"/>
      <c r="O12" s="20"/>
    </row>
    <row r="13" spans="1:15" ht="39" customHeight="1" x14ac:dyDescent="0.4">
      <c r="A13" s="9"/>
      <c r="B13" s="40" t="s">
        <v>20</v>
      </c>
      <c r="C13" s="15"/>
      <c r="D13" s="41" t="s">
        <v>27</v>
      </c>
      <c r="E13" s="60"/>
      <c r="F13" s="63"/>
      <c r="G13" s="80" t="s">
        <v>5</v>
      </c>
      <c r="H13" s="52"/>
      <c r="I13" s="52"/>
      <c r="J13" s="52"/>
      <c r="K13" s="52"/>
      <c r="L13" s="52"/>
      <c r="M13" s="52"/>
      <c r="N13" s="81"/>
      <c r="O13" s="14"/>
    </row>
    <row r="14" spans="1:15" ht="18.75" customHeight="1" x14ac:dyDescent="0.3">
      <c r="A14" s="9"/>
      <c r="B14" s="40" t="s">
        <v>28</v>
      </c>
      <c r="C14" s="15"/>
      <c r="D14" s="41" t="s">
        <v>29</v>
      </c>
      <c r="E14" s="60"/>
      <c r="F14" s="63"/>
      <c r="G14" s="21"/>
      <c r="H14" s="21"/>
      <c r="I14" s="21"/>
      <c r="J14" s="21"/>
      <c r="K14" s="21"/>
      <c r="L14" s="21"/>
      <c r="M14" s="21"/>
      <c r="N14" s="21"/>
      <c r="O14" s="22"/>
    </row>
    <row r="15" spans="1:15" ht="18.75" customHeight="1" x14ac:dyDescent="0.3">
      <c r="A15" s="9"/>
      <c r="B15" s="40" t="s">
        <v>22</v>
      </c>
      <c r="C15" s="15"/>
      <c r="D15" s="41" t="s">
        <v>30</v>
      </c>
      <c r="E15" s="60"/>
      <c r="F15" s="63"/>
      <c r="G15" s="23"/>
      <c r="H15" s="24"/>
      <c r="I15" s="21"/>
      <c r="J15" s="21"/>
      <c r="K15" s="21"/>
      <c r="L15" s="82" t="s">
        <v>6</v>
      </c>
      <c r="M15" s="52"/>
      <c r="N15" s="83"/>
      <c r="O15" s="21"/>
    </row>
    <row r="16" spans="1:15" ht="18.75" customHeight="1" x14ac:dyDescent="0.3">
      <c r="A16" s="9"/>
      <c r="B16" s="40" t="s">
        <v>22</v>
      </c>
      <c r="C16" s="15"/>
      <c r="D16" s="41" t="s">
        <v>31</v>
      </c>
      <c r="E16" s="60"/>
      <c r="F16" s="63"/>
      <c r="G16" s="20"/>
      <c r="H16" s="25"/>
      <c r="I16" s="21"/>
      <c r="J16" s="21"/>
      <c r="K16" s="21"/>
      <c r="L16" s="84"/>
      <c r="M16" s="84"/>
      <c r="N16" s="85"/>
      <c r="O16" s="22"/>
    </row>
    <row r="17" spans="1:15" ht="18.75" customHeight="1" x14ac:dyDescent="0.3">
      <c r="A17" s="9"/>
      <c r="B17" s="40" t="s">
        <v>20</v>
      </c>
      <c r="C17" s="15"/>
      <c r="D17" s="41" t="s">
        <v>32</v>
      </c>
      <c r="E17" s="60"/>
      <c r="F17" s="63"/>
      <c r="G17" s="26"/>
      <c r="H17" s="27"/>
      <c r="I17" s="21"/>
      <c r="J17" s="21"/>
      <c r="K17" s="21"/>
      <c r="L17" s="28"/>
      <c r="M17" s="28"/>
      <c r="N17" s="28"/>
      <c r="O17" s="21"/>
    </row>
    <row r="18" spans="1:15" ht="18.75" customHeight="1" x14ac:dyDescent="0.3">
      <c r="A18" s="9"/>
      <c r="B18" s="40" t="s">
        <v>22</v>
      </c>
      <c r="C18" s="15"/>
      <c r="D18" s="41" t="s">
        <v>33</v>
      </c>
      <c r="E18" s="60"/>
      <c r="F18" s="63"/>
      <c r="G18" s="26"/>
      <c r="H18" s="27"/>
      <c r="I18" s="21"/>
      <c r="J18" s="21"/>
      <c r="K18" s="21"/>
      <c r="L18" s="86" t="s">
        <v>7</v>
      </c>
      <c r="M18" s="87"/>
      <c r="N18" s="88"/>
      <c r="O18" s="21"/>
    </row>
    <row r="19" spans="1:15" ht="18.75" customHeight="1" x14ac:dyDescent="0.3">
      <c r="A19" s="9"/>
      <c r="B19" s="40" t="s">
        <v>20</v>
      </c>
      <c r="C19" s="15"/>
      <c r="D19" s="41" t="s">
        <v>34</v>
      </c>
      <c r="E19" s="60"/>
      <c r="F19" s="63"/>
      <c r="G19" s="26"/>
      <c r="H19" s="27"/>
      <c r="I19" s="21"/>
      <c r="J19" s="21"/>
      <c r="K19" s="21"/>
      <c r="L19" s="89"/>
      <c r="M19" s="74"/>
      <c r="N19" s="90"/>
      <c r="O19" s="21"/>
    </row>
    <row r="20" spans="1:15" ht="18.75" customHeight="1" x14ac:dyDescent="0.3">
      <c r="A20" s="9"/>
      <c r="B20" s="40" t="s">
        <v>22</v>
      </c>
      <c r="C20" s="15"/>
      <c r="D20" s="41" t="s">
        <v>35</v>
      </c>
      <c r="E20" s="60"/>
      <c r="F20" s="63"/>
      <c r="G20" s="26"/>
      <c r="H20" s="27"/>
      <c r="I20" s="21"/>
      <c r="J20" s="21"/>
      <c r="K20" s="21"/>
      <c r="L20" s="29"/>
      <c r="M20" s="29"/>
      <c r="N20" s="29"/>
      <c r="O20" s="21"/>
    </row>
    <row r="21" spans="1:15" ht="18.75" customHeight="1" x14ac:dyDescent="0.3">
      <c r="A21" s="9"/>
      <c r="B21" s="40" t="s">
        <v>22</v>
      </c>
      <c r="C21" s="15"/>
      <c r="D21" s="41" t="s">
        <v>36</v>
      </c>
      <c r="E21" s="60"/>
      <c r="F21" s="63"/>
      <c r="G21" s="26"/>
      <c r="H21" s="27"/>
      <c r="I21" s="21"/>
      <c r="J21" s="21"/>
      <c r="K21" s="21"/>
      <c r="L21" s="91" t="s">
        <v>8</v>
      </c>
      <c r="M21" s="87"/>
      <c r="N21" s="88"/>
      <c r="O21" s="21"/>
    </row>
    <row r="22" spans="1:15" ht="18.75" customHeight="1" x14ac:dyDescent="0.3">
      <c r="A22" s="9"/>
      <c r="B22" s="40" t="s">
        <v>22</v>
      </c>
      <c r="C22" s="15"/>
      <c r="D22" s="41" t="s">
        <v>37</v>
      </c>
      <c r="E22" s="60"/>
      <c r="F22" s="63"/>
      <c r="G22" s="7"/>
      <c r="H22" s="31"/>
      <c r="I22" s="21"/>
      <c r="J22" s="21"/>
      <c r="K22" s="21"/>
      <c r="L22" s="89"/>
      <c r="M22" s="74"/>
      <c r="N22" s="90"/>
      <c r="O22" s="32"/>
    </row>
    <row r="23" spans="1:15" ht="30" customHeight="1" x14ac:dyDescent="0.3">
      <c r="A23" s="9"/>
      <c r="B23" s="40" t="s">
        <v>22</v>
      </c>
      <c r="C23" s="15"/>
      <c r="D23" s="41" t="s">
        <v>38</v>
      </c>
      <c r="E23" s="60"/>
      <c r="F23" s="63"/>
      <c r="G23" s="79"/>
      <c r="H23" s="52"/>
      <c r="I23" s="52"/>
      <c r="J23" s="52"/>
      <c r="K23" s="52"/>
      <c r="L23" s="52"/>
      <c r="M23" s="52"/>
      <c r="N23" s="63"/>
      <c r="O23" s="8"/>
    </row>
    <row r="24" spans="1:15" ht="19.5" customHeight="1" x14ac:dyDescent="0.3">
      <c r="A24" s="9"/>
      <c r="B24" s="30"/>
      <c r="C24" s="15"/>
      <c r="D24" s="15"/>
      <c r="E24" s="60"/>
      <c r="F24" s="63"/>
      <c r="G24" s="92"/>
      <c r="H24" s="93"/>
      <c r="I24" s="93"/>
      <c r="J24" s="93"/>
      <c r="K24" s="93"/>
      <c r="L24" s="93"/>
      <c r="M24" s="93"/>
      <c r="N24" s="94"/>
      <c r="O24" s="8"/>
    </row>
    <row r="25" spans="1:15" ht="18.75" customHeight="1" x14ac:dyDescent="0.4">
      <c r="A25" s="9"/>
      <c r="B25" s="30"/>
      <c r="C25" s="15"/>
      <c r="D25" s="15"/>
      <c r="E25" s="60"/>
      <c r="F25" s="63"/>
      <c r="G25" s="33" t="s">
        <v>9</v>
      </c>
      <c r="H25" s="34"/>
      <c r="I25" s="34"/>
      <c r="J25" s="34"/>
      <c r="K25" s="8"/>
      <c r="L25" s="8"/>
      <c r="M25" s="8"/>
      <c r="N25" s="8"/>
      <c r="O25" s="8"/>
    </row>
    <row r="26" spans="1:15" ht="27.75" customHeight="1" x14ac:dyDescent="0.4">
      <c r="A26" s="9"/>
      <c r="B26" s="30"/>
      <c r="C26" s="15"/>
      <c r="D26" s="15"/>
      <c r="E26" s="60"/>
      <c r="F26" s="63"/>
      <c r="G26" s="33"/>
      <c r="H26" s="35"/>
      <c r="I26" s="35"/>
      <c r="J26" s="35"/>
      <c r="K26" s="8"/>
      <c r="L26" s="8"/>
      <c r="M26" s="8"/>
      <c r="N26" s="8"/>
      <c r="O26" s="8"/>
    </row>
    <row r="27" spans="1:15" ht="18.75" customHeight="1" x14ac:dyDescent="0.3">
      <c r="A27" s="9"/>
      <c r="B27" s="30"/>
      <c r="C27" s="15"/>
      <c r="D27" s="15"/>
      <c r="E27" s="60"/>
      <c r="F27" s="63"/>
      <c r="G27" s="25"/>
      <c r="H27" s="95"/>
      <c r="I27" s="96"/>
      <c r="J27" s="97"/>
      <c r="K27" s="20"/>
      <c r="L27" s="36" t="s">
        <v>10</v>
      </c>
      <c r="M27" s="8"/>
      <c r="N27" s="8"/>
      <c r="O27" s="8"/>
    </row>
    <row r="28" spans="1:15" ht="18.75" customHeight="1" x14ac:dyDescent="0.3">
      <c r="A28" s="9"/>
      <c r="B28" s="15"/>
      <c r="C28" s="15"/>
      <c r="D28" s="15"/>
      <c r="E28" s="60"/>
      <c r="F28" s="63"/>
      <c r="G28" s="25"/>
      <c r="H28" s="98"/>
      <c r="I28" s="52"/>
      <c r="J28" s="81"/>
      <c r="K28" s="20"/>
      <c r="L28" s="8"/>
      <c r="M28" s="8"/>
      <c r="N28" s="8"/>
      <c r="O28" s="20"/>
    </row>
    <row r="29" spans="1:15" ht="18.75" customHeight="1" x14ac:dyDescent="0.3">
      <c r="A29" s="9"/>
      <c r="B29" s="15"/>
      <c r="C29" s="15"/>
      <c r="D29" s="15"/>
      <c r="E29" s="60"/>
      <c r="F29" s="63"/>
      <c r="G29" s="27"/>
      <c r="H29" s="99" t="s">
        <v>18</v>
      </c>
      <c r="I29" s="100"/>
      <c r="J29" s="101"/>
      <c r="K29" s="26"/>
      <c r="L29" s="37" t="s">
        <v>11</v>
      </c>
      <c r="M29" s="14"/>
      <c r="N29" s="14"/>
      <c r="O29" s="8"/>
    </row>
    <row r="30" spans="1:15" ht="18.75" customHeight="1" x14ac:dyDescent="0.3">
      <c r="A30" s="9"/>
      <c r="B30" s="15"/>
      <c r="C30" s="15"/>
      <c r="D30" s="15"/>
      <c r="E30" s="60"/>
      <c r="F30" s="63"/>
      <c r="G30" s="21"/>
      <c r="H30" s="38"/>
      <c r="I30" s="38"/>
      <c r="J30" s="38"/>
      <c r="K30" s="21"/>
      <c r="L30" s="21"/>
      <c r="M30" s="21"/>
      <c r="N30" s="21"/>
      <c r="O30" s="8"/>
    </row>
    <row r="31" spans="1:15" ht="18.75" hidden="1" customHeight="1" x14ac:dyDescent="0.3">
      <c r="A31" s="9"/>
      <c r="B31" s="15"/>
      <c r="C31" s="15"/>
      <c r="D31" s="15"/>
      <c r="E31" s="60"/>
      <c r="F31" s="63"/>
      <c r="G31" s="24"/>
      <c r="H31" s="102" t="s">
        <v>12</v>
      </c>
      <c r="I31" s="100"/>
      <c r="J31" s="101"/>
      <c r="K31" s="26"/>
      <c r="L31" s="37" t="s">
        <v>13</v>
      </c>
      <c r="M31" s="14"/>
      <c r="N31" s="23"/>
      <c r="O31" s="8"/>
    </row>
    <row r="32" spans="1:15" ht="18.75" hidden="1" customHeight="1" x14ac:dyDescent="0.4">
      <c r="A32" s="9"/>
      <c r="B32" s="15"/>
      <c r="C32" s="15"/>
      <c r="D32" s="15"/>
      <c r="E32" s="60"/>
      <c r="F32" s="63"/>
      <c r="G32" s="34"/>
      <c r="H32" s="8"/>
      <c r="I32" s="8"/>
      <c r="J32" s="8"/>
      <c r="K32" s="8"/>
      <c r="L32" s="8"/>
      <c r="M32" s="8"/>
      <c r="N32" s="8"/>
      <c r="O32" s="8"/>
    </row>
    <row r="33" spans="1:15" ht="18.75" hidden="1" customHeight="1" x14ac:dyDescent="0.3">
      <c r="A33" s="9"/>
      <c r="B33" s="15"/>
      <c r="C33" s="15"/>
      <c r="D33" s="15"/>
      <c r="E33" s="60"/>
      <c r="F33" s="63"/>
      <c r="G33" s="8"/>
      <c r="H33" s="8"/>
      <c r="I33" s="70"/>
      <c r="J33" s="71"/>
      <c r="K33" s="71"/>
      <c r="L33" s="71"/>
      <c r="M33" s="71"/>
      <c r="N33" s="72"/>
      <c r="O33" s="8"/>
    </row>
    <row r="34" spans="1:15" ht="18.75" customHeight="1" x14ac:dyDescent="0.3">
      <c r="A34" s="9"/>
      <c r="B34" s="15"/>
      <c r="C34" s="15"/>
      <c r="D34" s="15"/>
      <c r="E34" s="60"/>
      <c r="F34" s="63"/>
      <c r="G34" s="8"/>
      <c r="H34" s="8"/>
      <c r="I34" s="8"/>
      <c r="J34" s="8"/>
      <c r="K34" s="8"/>
      <c r="L34" s="8"/>
      <c r="M34" s="8"/>
      <c r="N34" s="8"/>
      <c r="O34" s="8"/>
    </row>
    <row r="35" spans="1:15" ht="18.75" customHeight="1" x14ac:dyDescent="0.4">
      <c r="A35" s="9"/>
      <c r="B35" s="15"/>
      <c r="C35" s="15"/>
      <c r="D35" s="15"/>
      <c r="E35" s="60"/>
      <c r="F35" s="63"/>
      <c r="G35" s="39" t="s">
        <v>16</v>
      </c>
      <c r="H35" s="8"/>
      <c r="I35" s="8"/>
      <c r="J35" s="8"/>
      <c r="K35" s="8"/>
      <c r="L35" s="8"/>
      <c r="M35" s="8"/>
      <c r="N35" s="8"/>
      <c r="O35" s="8"/>
    </row>
    <row r="36" spans="1:15" ht="18.75" customHeight="1" x14ac:dyDescent="0.3">
      <c r="A36" s="9"/>
      <c r="B36" s="15"/>
      <c r="C36" s="15"/>
      <c r="D36" s="15"/>
      <c r="E36" s="60"/>
      <c r="F36" s="63"/>
      <c r="G36" s="8"/>
      <c r="H36" s="8"/>
      <c r="I36" s="68" t="s">
        <v>17</v>
      </c>
      <c r="J36" s="52"/>
      <c r="K36" s="52"/>
      <c r="L36" s="52"/>
      <c r="M36" s="52"/>
      <c r="N36" s="52"/>
      <c r="O36" s="63"/>
    </row>
    <row r="37" spans="1:15" ht="18.75" customHeight="1" x14ac:dyDescent="0.3">
      <c r="A37" s="9"/>
      <c r="B37" s="15"/>
      <c r="C37" s="15"/>
      <c r="D37" s="15"/>
      <c r="E37" s="60"/>
      <c r="F37" s="63"/>
      <c r="G37" s="8"/>
      <c r="H37" s="8"/>
      <c r="I37" s="69"/>
      <c r="J37" s="69"/>
      <c r="K37" s="69"/>
      <c r="L37" s="69"/>
      <c r="M37" s="69"/>
      <c r="N37" s="69"/>
      <c r="O37" s="64"/>
    </row>
    <row r="38" spans="1:15" ht="18.75" customHeight="1" x14ac:dyDescent="0.3">
      <c r="A38" s="9"/>
      <c r="B38" s="15"/>
      <c r="C38" s="15"/>
      <c r="D38" s="15"/>
      <c r="E38" s="60"/>
      <c r="F38" s="63"/>
      <c r="G38" s="8"/>
      <c r="H38" s="8"/>
      <c r="I38" s="8"/>
      <c r="J38" s="8"/>
      <c r="K38" s="8"/>
      <c r="L38" s="8"/>
      <c r="M38" s="8"/>
      <c r="N38" s="8"/>
      <c r="O38" s="8"/>
    </row>
    <row r="39" spans="1:15" ht="18.75" customHeight="1" x14ac:dyDescent="0.3">
      <c r="A39" s="9"/>
      <c r="B39" s="15"/>
      <c r="C39" s="15"/>
      <c r="D39" s="15"/>
      <c r="E39" s="60"/>
      <c r="F39" s="63"/>
      <c r="G39" s="8"/>
      <c r="H39" s="8"/>
      <c r="I39" s="8"/>
      <c r="J39" s="8"/>
      <c r="K39" s="8"/>
      <c r="L39" s="8"/>
      <c r="M39" s="8"/>
      <c r="N39" s="8"/>
      <c r="O39" s="8"/>
    </row>
    <row r="40" spans="1:15" ht="18.75" customHeight="1" x14ac:dyDescent="0.3">
      <c r="A40" s="9"/>
      <c r="B40" s="15"/>
      <c r="C40" s="15"/>
      <c r="D40" s="15"/>
      <c r="E40" s="61"/>
      <c r="F40" s="64"/>
      <c r="G40" s="8"/>
      <c r="H40" s="8"/>
      <c r="I40" s="8"/>
      <c r="J40" s="8"/>
      <c r="K40" s="8"/>
      <c r="L40" s="8"/>
      <c r="M40" s="8"/>
      <c r="N40" s="8"/>
      <c r="O40" s="8"/>
    </row>
    <row r="41" spans="1:15" ht="15.75" customHeight="1" x14ac:dyDescent="0.3"/>
    <row r="42" spans="1:15" ht="15.75" customHeight="1" x14ac:dyDescent="0.3"/>
    <row r="43" spans="1:15" ht="15.75" customHeight="1" x14ac:dyDescent="0.3"/>
    <row r="44" spans="1:15" ht="15.75" customHeight="1" x14ac:dyDescent="0.3"/>
    <row r="45" spans="1:15" ht="15.75" customHeight="1" x14ac:dyDescent="0.3"/>
    <row r="46" spans="1:15" ht="15.75" customHeight="1" x14ac:dyDescent="0.3"/>
    <row r="47" spans="1:15" ht="15.75" customHeight="1" x14ac:dyDescent="0.3"/>
    <row r="48" spans="1:15"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3">
    <mergeCell ref="H29:J29"/>
    <mergeCell ref="H31:J31"/>
    <mergeCell ref="L21:N22"/>
    <mergeCell ref="G23:N23"/>
    <mergeCell ref="G24:N24"/>
    <mergeCell ref="H27:J27"/>
    <mergeCell ref="H28:J28"/>
    <mergeCell ref="B2:N2"/>
    <mergeCell ref="B3:N3"/>
    <mergeCell ref="A4:O4"/>
    <mergeCell ref="A5:O5"/>
    <mergeCell ref="E6:E40"/>
    <mergeCell ref="F6:F40"/>
    <mergeCell ref="G6:O6"/>
    <mergeCell ref="I36:O37"/>
    <mergeCell ref="I33:N33"/>
    <mergeCell ref="I9:N9"/>
    <mergeCell ref="I10:N10"/>
    <mergeCell ref="I11:N11"/>
    <mergeCell ref="G12:N12"/>
    <mergeCell ref="G13:N13"/>
    <mergeCell ref="L15:N16"/>
    <mergeCell ref="L18:N19"/>
  </mergeCells>
  <conditionalFormatting sqref="A4:O4">
    <cfRule type="notContainsBlanks" dxfId="90" priority="1">
      <formula>LEN(TRIM(A4))&gt;0</formula>
    </cfRule>
  </conditionalFormatting>
  <conditionalFormatting sqref="F6:F40">
    <cfRule type="notContainsBlanks" dxfId="89" priority="2">
      <formula>LEN(TRIM(F6))&gt;0</formula>
    </cfRule>
  </conditionalFormatting>
  <hyperlinks>
    <hyperlink ref="I10" r:id="rId1" xr:uid="{00000000-0004-0000-0000-000000000000}"/>
    <hyperlink ref="D9" location="'Shorts e bermudas'!A1" display="Shorts e bermudas" xr:uid="{00000000-0004-0000-0000-000001000000}"/>
    <hyperlink ref="D10" location="'Veiculos em miniatura'!A1" display="Veiculos em miniatura" xr:uid="{00000000-0004-0000-0000-000002000000}"/>
    <hyperlink ref="D11" location="'Animais e bolas pula pula'!A1" display="Animais e bolas pula pula" xr:uid="{00000000-0004-0000-0000-000003000000}"/>
    <hyperlink ref="D12" location="'Veiculos de brinquedo sem co...'!A1" display="Veiculos de brinquedo sem co..." xr:uid="{00000000-0004-0000-0000-000004000000}"/>
    <hyperlink ref="D13" location="'Churrasqueiras eletricas'!A1" display="Churrasqueiras eletricas" xr:uid="{00000000-0004-0000-0000-000005000000}"/>
    <hyperlink ref="D14" location="'Ventiladores'!A1" display="Ventiladores" xr:uid="{00000000-0004-0000-0000-000006000000}"/>
    <hyperlink ref="D15" location="'Lanternas'!A1" display="Lanternas" xr:uid="{00000000-0004-0000-0000-000007000000}"/>
    <hyperlink ref="D16" location="'Pipoqueiras eletricas'!A1" display="Pipoqueiras eletricas" xr:uid="{00000000-0004-0000-0000-000008000000}"/>
    <hyperlink ref="D17" location="'Pop its'!A1" display="Pop its" xr:uid="{00000000-0004-0000-0000-000009000000}"/>
    <hyperlink ref="D18" location="'Baterias musicais de brinquedo'!A1" display="Baterias musicais de brinquedo" xr:uid="{00000000-0004-0000-0000-00000A000000}"/>
    <hyperlink ref="D19" location="'Camisetas'!A1" display="Camisetas" xr:uid="{00000000-0004-0000-0000-00000B000000}"/>
    <hyperlink ref="D20" location="'Varais'!A1" display="Varais" xr:uid="{00000000-0004-0000-0000-00000C000000}"/>
    <hyperlink ref="D21" location="'Marmitas eletricas'!A1" display="Marmitas eletricas" xr:uid="{00000000-0004-0000-0000-00000D000000}"/>
    <hyperlink ref="D22" location="'Shorts y bermudas esportivas'!A1" display="Shorts y bermudas esportivas" xr:uid="{00000000-0004-0000-0000-00000E000000}"/>
    <hyperlink ref="D23" location="'Aspiradores e limpadores a v...'!A1" display="Aspiradores e limpadores a v..." xr:uid="{00000000-0004-0000-0000-00000F000000}"/>
  </hyperlinks>
  <pageMargins left="0.511811024" right="0.511811024" top="0.78740157499999996" bottom="0.78740157499999996" header="0.31496062000000002" footer="0.31496062000000002"/>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W15"/>
  <sheetViews>
    <sheetView workbookViewId="0"/>
  </sheetViews>
  <sheetFormatPr defaultRowHeight="12.45" x14ac:dyDescent="0.3"/>
  <sheetData>
    <row r="1" spans="1:75" x14ac:dyDescent="0.3">
      <c r="A1" t="s">
        <v>19</v>
      </c>
    </row>
    <row r="2" spans="1:75" x14ac:dyDescent="0.3">
      <c r="A2" t="s">
        <v>104</v>
      </c>
      <c r="B2" t="s">
        <v>105</v>
      </c>
      <c r="C2" t="s">
        <v>106</v>
      </c>
      <c r="D2" t="s">
        <v>107</v>
      </c>
      <c r="E2" t="s">
        <v>108</v>
      </c>
      <c r="F2" t="s">
        <v>109</v>
      </c>
      <c r="G2" t="s">
        <v>110</v>
      </c>
      <c r="H2" t="s">
        <v>111</v>
      </c>
      <c r="I2" t="s">
        <v>112</v>
      </c>
      <c r="J2" t="s">
        <v>113</v>
      </c>
      <c r="K2" t="s">
        <v>114</v>
      </c>
      <c r="L2" t="s">
        <v>115</v>
      </c>
      <c r="M2" t="s">
        <v>116</v>
      </c>
      <c r="N2" t="s">
        <v>117</v>
      </c>
      <c r="O2" t="s">
        <v>118</v>
      </c>
      <c r="P2" t="s">
        <v>119</v>
      </c>
      <c r="Q2" t="s">
        <v>120</v>
      </c>
      <c r="R2" t="s">
        <v>121</v>
      </c>
      <c r="S2" t="s">
        <v>122</v>
      </c>
      <c r="T2" t="s">
        <v>123</v>
      </c>
      <c r="U2" t="s">
        <v>124</v>
      </c>
      <c r="V2" t="s">
        <v>125</v>
      </c>
      <c r="W2" t="s">
        <v>126</v>
      </c>
      <c r="X2" t="s">
        <v>127</v>
      </c>
      <c r="Y2" t="s">
        <v>128</v>
      </c>
      <c r="Z2" t="s">
        <v>129</v>
      </c>
      <c r="AA2" t="s">
        <v>130</v>
      </c>
      <c r="AB2" t="s">
        <v>131</v>
      </c>
      <c r="AC2" t="s">
        <v>132</v>
      </c>
      <c r="AD2" t="s">
        <v>133</v>
      </c>
      <c r="AE2" t="s">
        <v>134</v>
      </c>
      <c r="AF2" t="s">
        <v>135</v>
      </c>
      <c r="AG2" t="s">
        <v>136</v>
      </c>
      <c r="AH2" t="s">
        <v>137</v>
      </c>
      <c r="AI2" t="s">
        <v>138</v>
      </c>
      <c r="AJ2" t="s">
        <v>139</v>
      </c>
      <c r="AK2" t="s">
        <v>140</v>
      </c>
      <c r="AL2" t="s">
        <v>141</v>
      </c>
      <c r="AM2" t="s">
        <v>142</v>
      </c>
      <c r="AN2" t="s">
        <v>143</v>
      </c>
      <c r="AO2" t="s">
        <v>144</v>
      </c>
      <c r="AP2" t="s">
        <v>145</v>
      </c>
      <c r="AQ2" t="s">
        <v>146</v>
      </c>
      <c r="AR2" t="s">
        <v>147</v>
      </c>
      <c r="AS2" t="s">
        <v>148</v>
      </c>
      <c r="AT2" t="s">
        <v>149</v>
      </c>
      <c r="AU2" t="s">
        <v>150</v>
      </c>
      <c r="AV2" t="s">
        <v>151</v>
      </c>
      <c r="AW2" t="s">
        <v>152</v>
      </c>
      <c r="AX2" t="s">
        <v>153</v>
      </c>
      <c r="AY2" t="s">
        <v>154</v>
      </c>
      <c r="AZ2" t="s">
        <v>155</v>
      </c>
      <c r="BA2" t="s">
        <v>156</v>
      </c>
      <c r="BB2" t="s">
        <v>157</v>
      </c>
      <c r="BC2" t="s">
        <v>158</v>
      </c>
      <c r="BD2" t="s">
        <v>159</v>
      </c>
      <c r="BE2" t="s">
        <v>160</v>
      </c>
      <c r="BF2" t="s">
        <v>161</v>
      </c>
      <c r="BG2" t="s">
        <v>162</v>
      </c>
      <c r="BH2" t="s">
        <v>163</v>
      </c>
      <c r="BI2" t="s">
        <v>164</v>
      </c>
      <c r="BJ2" t="s">
        <v>165</v>
      </c>
      <c r="BK2" t="s">
        <v>166</v>
      </c>
      <c r="BL2" t="s">
        <v>167</v>
      </c>
      <c r="BM2" t="s">
        <v>168</v>
      </c>
      <c r="BN2" t="s">
        <v>169</v>
      </c>
      <c r="BO2" t="s">
        <v>170</v>
      </c>
      <c r="BP2" t="s">
        <v>171</v>
      </c>
      <c r="BQ2" t="s">
        <v>172</v>
      </c>
      <c r="BR2" t="s">
        <v>173</v>
      </c>
      <c r="BS2" t="s">
        <v>174</v>
      </c>
      <c r="BT2" t="s">
        <v>175</v>
      </c>
      <c r="BU2" t="s">
        <v>176</v>
      </c>
      <c r="BV2" t="s">
        <v>177</v>
      </c>
      <c r="BW2" t="s">
        <v>178</v>
      </c>
    </row>
    <row r="3" spans="1:75" x14ac:dyDescent="0.3">
      <c r="A3" t="s">
        <v>236</v>
      </c>
      <c r="B3" t="s">
        <v>237</v>
      </c>
      <c r="C3" t="s">
        <v>238</v>
      </c>
      <c r="D3" t="s">
        <v>239</v>
      </c>
      <c r="E3" t="s">
        <v>240</v>
      </c>
      <c r="F3" t="s">
        <v>241</v>
      </c>
      <c r="G3" t="s">
        <v>235</v>
      </c>
      <c r="H3" t="s">
        <v>242</v>
      </c>
      <c r="I3" t="s">
        <v>243</v>
      </c>
      <c r="J3" t="s">
        <v>244</v>
      </c>
      <c r="K3" t="s">
        <v>245</v>
      </c>
      <c r="L3" t="s">
        <v>246</v>
      </c>
      <c r="M3" t="s">
        <v>247</v>
      </c>
      <c r="N3" t="s">
        <v>101</v>
      </c>
      <c r="O3" t="s">
        <v>248</v>
      </c>
      <c r="P3" t="s">
        <v>249</v>
      </c>
      <c r="Q3" t="s">
        <v>250</v>
      </c>
      <c r="R3" t="s">
        <v>251</v>
      </c>
      <c r="S3" t="s">
        <v>252</v>
      </c>
      <c r="T3" t="s">
        <v>253</v>
      </c>
      <c r="U3" t="s">
        <v>254</v>
      </c>
      <c r="V3" t="s">
        <v>255</v>
      </c>
      <c r="W3" t="s">
        <v>256</v>
      </c>
      <c r="X3" t="s">
        <v>257</v>
      </c>
      <c r="Y3" t="s">
        <v>258</v>
      </c>
      <c r="Z3" t="s">
        <v>259</v>
      </c>
      <c r="AA3" t="s">
        <v>260</v>
      </c>
      <c r="AB3" t="s">
        <v>261</v>
      </c>
      <c r="AC3" t="s">
        <v>262</v>
      </c>
      <c r="AD3" t="s">
        <v>263</v>
      </c>
      <c r="AE3" t="s">
        <v>264</v>
      </c>
      <c r="AF3" t="s">
        <v>265</v>
      </c>
      <c r="AG3" t="s">
        <v>266</v>
      </c>
      <c r="AH3" t="s">
        <v>267</v>
      </c>
      <c r="AI3" t="s">
        <v>268</v>
      </c>
      <c r="AJ3" t="s">
        <v>269</v>
      </c>
      <c r="AK3" t="s">
        <v>270</v>
      </c>
      <c r="AL3" t="s">
        <v>271</v>
      </c>
      <c r="AM3" t="s">
        <v>272</v>
      </c>
      <c r="AN3" t="s">
        <v>273</v>
      </c>
      <c r="AO3" t="s">
        <v>274</v>
      </c>
      <c r="AP3" t="s">
        <v>275</v>
      </c>
      <c r="AQ3" t="s">
        <v>276</v>
      </c>
      <c r="AR3" t="s">
        <v>277</v>
      </c>
      <c r="AS3" t="s">
        <v>278</v>
      </c>
      <c r="AT3" t="s">
        <v>279</v>
      </c>
      <c r="AU3" t="s">
        <v>280</v>
      </c>
      <c r="AV3" t="s">
        <v>281</v>
      </c>
      <c r="AW3" t="s">
        <v>282</v>
      </c>
      <c r="AX3" t="s">
        <v>283</v>
      </c>
      <c r="AY3" t="s">
        <v>284</v>
      </c>
      <c r="AZ3" t="s">
        <v>285</v>
      </c>
      <c r="BA3" t="s">
        <v>286</v>
      </c>
      <c r="BB3" t="s">
        <v>287</v>
      </c>
      <c r="BC3" t="s">
        <v>288</v>
      </c>
    </row>
    <row r="4" spans="1:75" x14ac:dyDescent="0.3">
      <c r="A4" t="s">
        <v>290</v>
      </c>
      <c r="B4" t="s">
        <v>291</v>
      </c>
      <c r="C4" t="s">
        <v>292</v>
      </c>
      <c r="D4" t="s">
        <v>293</v>
      </c>
      <c r="E4" t="s">
        <v>294</v>
      </c>
      <c r="F4" t="s">
        <v>295</v>
      </c>
      <c r="G4" t="s">
        <v>296</v>
      </c>
      <c r="H4" t="s">
        <v>297</v>
      </c>
      <c r="I4" t="s">
        <v>298</v>
      </c>
      <c r="J4" t="s">
        <v>299</v>
      </c>
      <c r="K4" t="s">
        <v>300</v>
      </c>
      <c r="L4" t="s">
        <v>301</v>
      </c>
      <c r="M4" t="s">
        <v>302</v>
      </c>
      <c r="N4" t="s">
        <v>303</v>
      </c>
      <c r="O4" t="s">
        <v>304</v>
      </c>
      <c r="P4" t="s">
        <v>305</v>
      </c>
      <c r="Q4" t="s">
        <v>306</v>
      </c>
      <c r="R4" t="s">
        <v>307</v>
      </c>
      <c r="S4" t="s">
        <v>308</v>
      </c>
      <c r="T4" t="s">
        <v>309</v>
      </c>
      <c r="U4" t="s">
        <v>310</v>
      </c>
      <c r="V4" t="s">
        <v>311</v>
      </c>
      <c r="W4" t="s">
        <v>312</v>
      </c>
      <c r="X4" t="s">
        <v>313</v>
      </c>
      <c r="Y4" t="s">
        <v>314</v>
      </c>
      <c r="Z4" t="s">
        <v>315</v>
      </c>
      <c r="AA4" t="s">
        <v>316</v>
      </c>
      <c r="AB4" t="s">
        <v>317</v>
      </c>
      <c r="AC4" t="s">
        <v>318</v>
      </c>
      <c r="AD4" t="s">
        <v>319</v>
      </c>
      <c r="AE4" t="s">
        <v>320</v>
      </c>
      <c r="AF4" t="s">
        <v>321</v>
      </c>
      <c r="AG4" t="s">
        <v>322</v>
      </c>
      <c r="AH4" t="s">
        <v>323</v>
      </c>
      <c r="AI4" t="s">
        <v>324</v>
      </c>
      <c r="AJ4" t="s">
        <v>325</v>
      </c>
      <c r="AK4" t="s">
        <v>326</v>
      </c>
      <c r="AL4" t="s">
        <v>327</v>
      </c>
      <c r="AM4" t="s">
        <v>328</v>
      </c>
      <c r="AN4" t="s">
        <v>329</v>
      </c>
      <c r="AO4" t="s">
        <v>330</v>
      </c>
      <c r="AP4" t="s">
        <v>331</v>
      </c>
      <c r="AQ4" t="s">
        <v>332</v>
      </c>
      <c r="AR4" t="s">
        <v>333</v>
      </c>
      <c r="AS4" t="s">
        <v>334</v>
      </c>
      <c r="AT4" t="s">
        <v>335</v>
      </c>
      <c r="AU4" t="s">
        <v>336</v>
      </c>
      <c r="AV4" t="s">
        <v>337</v>
      </c>
      <c r="AW4" t="s">
        <v>338</v>
      </c>
      <c r="AX4" t="s">
        <v>339</v>
      </c>
      <c r="AY4" t="s">
        <v>340</v>
      </c>
      <c r="AZ4" t="s">
        <v>341</v>
      </c>
    </row>
    <row r="5" spans="1:75" x14ac:dyDescent="0.3">
      <c r="A5" t="s">
        <v>505</v>
      </c>
      <c r="B5" t="s">
        <v>393</v>
      </c>
      <c r="C5" t="s">
        <v>506</v>
      </c>
      <c r="D5" t="s">
        <v>507</v>
      </c>
    </row>
    <row r="6" spans="1:75" x14ac:dyDescent="0.3">
      <c r="A6" t="s">
        <v>505</v>
      </c>
      <c r="B6" t="s">
        <v>393</v>
      </c>
      <c r="C6" t="s">
        <v>506</v>
      </c>
      <c r="D6" t="s">
        <v>507</v>
      </c>
    </row>
    <row r="7" spans="1:75" x14ac:dyDescent="0.3">
      <c r="A7" t="s">
        <v>505</v>
      </c>
      <c r="B7" t="s">
        <v>393</v>
      </c>
      <c r="C7" t="s">
        <v>506</v>
      </c>
      <c r="D7" t="s">
        <v>507</v>
      </c>
    </row>
    <row r="8" spans="1:75" x14ac:dyDescent="0.3">
      <c r="A8" t="s">
        <v>505</v>
      </c>
      <c r="B8" t="s">
        <v>393</v>
      </c>
      <c r="C8" t="s">
        <v>555</v>
      </c>
      <c r="D8" t="s">
        <v>506</v>
      </c>
      <c r="E8" t="s">
        <v>507</v>
      </c>
    </row>
    <row r="9" spans="1:75" x14ac:dyDescent="0.3">
      <c r="A9" t="s">
        <v>505</v>
      </c>
      <c r="B9" t="s">
        <v>393</v>
      </c>
      <c r="C9" t="s">
        <v>555</v>
      </c>
      <c r="D9" t="s">
        <v>506</v>
      </c>
      <c r="E9" t="s">
        <v>507</v>
      </c>
    </row>
    <row r="10" spans="1:75" x14ac:dyDescent="0.3">
      <c r="A10" t="s">
        <v>505</v>
      </c>
      <c r="B10" t="s">
        <v>393</v>
      </c>
      <c r="C10" t="s">
        <v>555</v>
      </c>
      <c r="D10" t="s">
        <v>506</v>
      </c>
      <c r="E10" t="s">
        <v>507</v>
      </c>
    </row>
    <row r="11" spans="1:75" x14ac:dyDescent="0.3">
      <c r="A11" t="s">
        <v>557</v>
      </c>
      <c r="B11" t="s">
        <v>558</v>
      </c>
      <c r="C11" t="s">
        <v>559</v>
      </c>
      <c r="D11" t="s">
        <v>560</v>
      </c>
      <c r="E11" t="s">
        <v>561</v>
      </c>
      <c r="F11" t="s">
        <v>562</v>
      </c>
      <c r="G11" t="s">
        <v>563</v>
      </c>
      <c r="H11" t="s">
        <v>564</v>
      </c>
      <c r="I11" t="s">
        <v>565</v>
      </c>
      <c r="J11" t="s">
        <v>566</v>
      </c>
      <c r="K11" t="s">
        <v>567</v>
      </c>
      <c r="L11" t="s">
        <v>568</v>
      </c>
      <c r="M11" t="s">
        <v>569</v>
      </c>
      <c r="N11" t="s">
        <v>570</v>
      </c>
      <c r="O11" t="s">
        <v>571</v>
      </c>
      <c r="P11" t="s">
        <v>572</v>
      </c>
    </row>
    <row r="12" spans="1:75" x14ac:dyDescent="0.3">
      <c r="A12" t="s">
        <v>104</v>
      </c>
      <c r="B12" t="s">
        <v>731</v>
      </c>
      <c r="C12" t="s">
        <v>105</v>
      </c>
      <c r="D12" t="s">
        <v>732</v>
      </c>
      <c r="E12" t="s">
        <v>106</v>
      </c>
      <c r="F12" t="s">
        <v>733</v>
      </c>
      <c r="G12" t="s">
        <v>734</v>
      </c>
      <c r="H12" t="s">
        <v>735</v>
      </c>
      <c r="I12" t="s">
        <v>109</v>
      </c>
      <c r="J12" t="s">
        <v>736</v>
      </c>
      <c r="K12" t="s">
        <v>737</v>
      </c>
      <c r="L12" t="s">
        <v>738</v>
      </c>
      <c r="M12" t="s">
        <v>739</v>
      </c>
      <c r="N12" t="s">
        <v>740</v>
      </c>
      <c r="O12" t="s">
        <v>741</v>
      </c>
      <c r="P12" t="s">
        <v>742</v>
      </c>
      <c r="Q12" t="s">
        <v>743</v>
      </c>
      <c r="R12" t="s">
        <v>118</v>
      </c>
      <c r="S12" t="s">
        <v>744</v>
      </c>
      <c r="T12" t="s">
        <v>299</v>
      </c>
      <c r="U12" t="s">
        <v>745</v>
      </c>
      <c r="V12" t="s">
        <v>746</v>
      </c>
      <c r="W12" t="s">
        <v>747</v>
      </c>
      <c r="X12" t="s">
        <v>126</v>
      </c>
      <c r="Y12" t="s">
        <v>127</v>
      </c>
      <c r="Z12" t="s">
        <v>748</v>
      </c>
      <c r="AA12" t="s">
        <v>749</v>
      </c>
      <c r="AB12" t="s">
        <v>750</v>
      </c>
      <c r="AC12" t="s">
        <v>751</v>
      </c>
      <c r="AD12" t="s">
        <v>132</v>
      </c>
      <c r="AE12" t="s">
        <v>752</v>
      </c>
      <c r="AF12" t="s">
        <v>753</v>
      </c>
      <c r="AG12" t="s">
        <v>754</v>
      </c>
      <c r="AH12" t="s">
        <v>755</v>
      </c>
      <c r="AI12" t="s">
        <v>756</v>
      </c>
      <c r="AJ12" t="s">
        <v>757</v>
      </c>
      <c r="AK12" t="s">
        <v>758</v>
      </c>
      <c r="AL12" t="s">
        <v>138</v>
      </c>
      <c r="AM12" t="s">
        <v>759</v>
      </c>
      <c r="AN12" t="s">
        <v>150</v>
      </c>
      <c r="AO12" t="s">
        <v>760</v>
      </c>
      <c r="AP12" t="s">
        <v>153</v>
      </c>
      <c r="AQ12" t="s">
        <v>761</v>
      </c>
      <c r="AR12" t="s">
        <v>762</v>
      </c>
      <c r="AS12" t="s">
        <v>763</v>
      </c>
      <c r="AT12" t="s">
        <v>764</v>
      </c>
      <c r="AU12" t="s">
        <v>765</v>
      </c>
      <c r="AV12" t="s">
        <v>766</v>
      </c>
      <c r="AW12" t="s">
        <v>767</v>
      </c>
      <c r="AX12" t="s">
        <v>158</v>
      </c>
      <c r="AY12" t="s">
        <v>159</v>
      </c>
      <c r="AZ12" t="s">
        <v>162</v>
      </c>
      <c r="BA12" t="s">
        <v>163</v>
      </c>
      <c r="BB12" t="s">
        <v>164</v>
      </c>
      <c r="BC12" t="s">
        <v>768</v>
      </c>
      <c r="BD12" t="s">
        <v>166</v>
      </c>
      <c r="BE12" t="s">
        <v>168</v>
      </c>
      <c r="BF12" t="s">
        <v>769</v>
      </c>
      <c r="BG12" t="s">
        <v>770</v>
      </c>
      <c r="BH12" t="s">
        <v>771</v>
      </c>
      <c r="BI12" t="s">
        <v>772</v>
      </c>
      <c r="BJ12" t="s">
        <v>773</v>
      </c>
      <c r="BK12" t="s">
        <v>774</v>
      </c>
      <c r="BL12" t="s">
        <v>775</v>
      </c>
      <c r="BM12" t="s">
        <v>172</v>
      </c>
      <c r="BN12" t="s">
        <v>173</v>
      </c>
      <c r="BO12" t="s">
        <v>776</v>
      </c>
      <c r="BP12" t="s">
        <v>777</v>
      </c>
      <c r="BQ12" t="s">
        <v>778</v>
      </c>
      <c r="BR12" t="s">
        <v>779</v>
      </c>
      <c r="BS12" t="s">
        <v>780</v>
      </c>
      <c r="BT12" t="s">
        <v>781</v>
      </c>
      <c r="BU12" t="s">
        <v>177</v>
      </c>
      <c r="BV12" t="s">
        <v>178</v>
      </c>
    </row>
    <row r="13" spans="1:75" x14ac:dyDescent="0.3">
      <c r="A13" t="s">
        <v>393</v>
      </c>
      <c r="B13" t="s">
        <v>507</v>
      </c>
      <c r="C13" t="s">
        <v>506</v>
      </c>
      <c r="D13" t="s">
        <v>505</v>
      </c>
    </row>
    <row r="14" spans="1:75" x14ac:dyDescent="0.3">
      <c r="A14" t="s">
        <v>393</v>
      </c>
      <c r="B14" t="s">
        <v>507</v>
      </c>
      <c r="C14" t="s">
        <v>506</v>
      </c>
      <c r="D14" t="s">
        <v>505</v>
      </c>
    </row>
    <row r="15" spans="1:75" x14ac:dyDescent="0.3">
      <c r="A15" t="s">
        <v>393</v>
      </c>
      <c r="B15" t="s">
        <v>507</v>
      </c>
      <c r="C15" t="s">
        <v>506</v>
      </c>
      <c r="D15" t="s">
        <v>505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6"/>
  <sheetViews>
    <sheetView tabSelected="1"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5" width="23.4609375" customWidth="1"/>
  </cols>
  <sheetData>
    <row r="1" spans="1:25" hidden="1" x14ac:dyDescent="0.3">
      <c r="A1" s="42" t="s">
        <v>39</v>
      </c>
      <c r="B1" s="42" t="s">
        <v>40</v>
      </c>
      <c r="C1" s="42" t="s">
        <v>41</v>
      </c>
      <c r="D1" s="42" t="s">
        <v>42</v>
      </c>
      <c r="E1" s="42" t="s">
        <v>43</v>
      </c>
      <c r="F1" s="42" t="s">
        <v>44</v>
      </c>
      <c r="G1" s="42" t="s">
        <v>45</v>
      </c>
      <c r="H1" s="42" t="s">
        <v>46</v>
      </c>
      <c r="I1" s="42" t="s">
        <v>47</v>
      </c>
      <c r="J1" s="42" t="s">
        <v>48</v>
      </c>
      <c r="K1" s="42" t="s">
        <v>49</v>
      </c>
      <c r="L1" s="42" t="s">
        <v>50</v>
      </c>
      <c r="M1" s="42" t="s">
        <v>51</v>
      </c>
      <c r="N1" s="42" t="s">
        <v>52</v>
      </c>
      <c r="O1" s="42" t="s">
        <v>53</v>
      </c>
      <c r="P1" s="42" t="s">
        <v>54</v>
      </c>
      <c r="Q1" s="42" t="s">
        <v>55</v>
      </c>
      <c r="R1" s="42" t="s">
        <v>56</v>
      </c>
      <c r="S1" s="42" t="s">
        <v>57</v>
      </c>
      <c r="T1" s="42" t="s">
        <v>58</v>
      </c>
      <c r="U1" s="42" t="s">
        <v>59</v>
      </c>
      <c r="V1" s="42" t="s">
        <v>60</v>
      </c>
      <c r="W1" s="42" t="s">
        <v>61</v>
      </c>
      <c r="X1" s="42" t="s">
        <v>62</v>
      </c>
      <c r="Y1" s="42" t="s">
        <v>63</v>
      </c>
    </row>
    <row r="2" spans="1:25" hidden="1" x14ac:dyDescent="0.3">
      <c r="A2" s="42" t="s">
        <v>64</v>
      </c>
      <c r="B2" s="42" t="s">
        <v>64</v>
      </c>
      <c r="C2" s="42" t="s">
        <v>64</v>
      </c>
      <c r="D2" s="42" t="s">
        <v>64</v>
      </c>
      <c r="E2" s="42" t="s">
        <v>64</v>
      </c>
      <c r="F2" s="42" t="s">
        <v>64</v>
      </c>
      <c r="G2" s="42" t="s">
        <v>64</v>
      </c>
      <c r="H2" s="42" t="s">
        <v>64</v>
      </c>
      <c r="I2" s="42" t="s">
        <v>64</v>
      </c>
      <c r="J2" s="42" t="s">
        <v>65</v>
      </c>
      <c r="K2" s="42" t="s">
        <v>65</v>
      </c>
      <c r="L2" s="42" t="s">
        <v>66</v>
      </c>
      <c r="M2" s="42" t="s">
        <v>66</v>
      </c>
      <c r="N2" s="42" t="s">
        <v>66</v>
      </c>
      <c r="O2" s="42" t="s">
        <v>66</v>
      </c>
      <c r="P2" s="42" t="s">
        <v>66</v>
      </c>
      <c r="Q2" s="42" t="s">
        <v>66</v>
      </c>
      <c r="R2" s="42" t="s">
        <v>66</v>
      </c>
      <c r="S2" s="42" t="s">
        <v>66</v>
      </c>
      <c r="T2" s="42" t="s">
        <v>66</v>
      </c>
      <c r="U2" s="42" t="s">
        <v>66</v>
      </c>
      <c r="V2" s="42" t="s">
        <v>66</v>
      </c>
      <c r="W2" s="42" t="s">
        <v>66</v>
      </c>
      <c r="X2" s="42" t="s">
        <v>66</v>
      </c>
      <c r="Y2" s="42" t="s">
        <v>66</v>
      </c>
    </row>
    <row r="3" spans="1:25" ht="60" customHeight="1" x14ac:dyDescent="0.3">
      <c r="A3" s="103" t="s">
        <v>67</v>
      </c>
      <c r="B3" s="52"/>
      <c r="C3" s="52"/>
      <c r="D3" s="52"/>
      <c r="E3" s="52"/>
      <c r="F3" s="52"/>
      <c r="G3" s="52"/>
      <c r="H3" s="52"/>
      <c r="I3" s="52"/>
      <c r="J3" s="52"/>
      <c r="K3" s="52"/>
      <c r="L3" s="104" t="s">
        <v>68</v>
      </c>
      <c r="M3" s="52"/>
      <c r="N3" s="52"/>
      <c r="O3" s="52"/>
      <c r="P3" s="52"/>
      <c r="Q3" s="52"/>
      <c r="R3" s="52"/>
      <c r="S3" s="52"/>
      <c r="T3" s="52"/>
      <c r="U3" s="52"/>
      <c r="V3" s="52"/>
      <c r="W3" s="52"/>
      <c r="X3" s="52"/>
      <c r="Y3" s="52"/>
    </row>
    <row r="4" spans="1:25" ht="25" customHeight="1" x14ac:dyDescent="0.3">
      <c r="A4" s="43" t="s">
        <v>69</v>
      </c>
      <c r="B4" s="43" t="s">
        <v>70</v>
      </c>
      <c r="C4" s="43" t="s">
        <v>71</v>
      </c>
      <c r="D4" s="43" t="s">
        <v>42</v>
      </c>
      <c r="E4" s="43" t="s">
        <v>72</v>
      </c>
      <c r="F4" s="43" t="s">
        <v>73</v>
      </c>
      <c r="G4" s="43" t="s">
        <v>74</v>
      </c>
      <c r="H4" s="43" t="s">
        <v>75</v>
      </c>
      <c r="I4" s="43" t="s">
        <v>76</v>
      </c>
      <c r="J4" s="43" t="s">
        <v>77</v>
      </c>
      <c r="K4" s="43" t="s">
        <v>78</v>
      </c>
      <c r="L4" s="44" t="s">
        <v>79</v>
      </c>
      <c r="M4" s="44" t="s">
        <v>80</v>
      </c>
      <c r="N4" s="44" t="s">
        <v>81</v>
      </c>
      <c r="O4" s="44" t="s">
        <v>82</v>
      </c>
      <c r="P4" s="44" t="s">
        <v>83</v>
      </c>
      <c r="Q4" s="44" t="s">
        <v>84</v>
      </c>
      <c r="R4" s="44" t="s">
        <v>85</v>
      </c>
      <c r="S4" s="44" t="s">
        <v>86</v>
      </c>
      <c r="T4" s="44" t="s">
        <v>87</v>
      </c>
      <c r="U4" s="44" t="s">
        <v>88</v>
      </c>
      <c r="V4" s="44" t="s">
        <v>89</v>
      </c>
      <c r="W4" s="44" t="s">
        <v>90</v>
      </c>
      <c r="X4" s="44" t="s">
        <v>91</v>
      </c>
      <c r="Y4" s="44" t="s">
        <v>92</v>
      </c>
    </row>
    <row r="5" spans="1:25" ht="25" customHeight="1" x14ac:dyDescent="0.3">
      <c r="A5" s="45" t="s">
        <v>93</v>
      </c>
      <c r="B5" s="45" t="s">
        <v>94</v>
      </c>
      <c r="C5" s="45" t="s">
        <v>95</v>
      </c>
      <c r="D5" s="45" t="s">
        <v>96</v>
      </c>
      <c r="E5" s="42"/>
      <c r="F5" s="42" t="s">
        <v>97</v>
      </c>
      <c r="G5" s="42" t="s">
        <v>98</v>
      </c>
      <c r="H5" s="42" t="s">
        <v>99</v>
      </c>
      <c r="I5" s="45" t="s">
        <v>100</v>
      </c>
      <c r="J5" s="45" t="s">
        <v>101</v>
      </c>
      <c r="K5" s="45" t="s">
        <v>102</v>
      </c>
      <c r="L5" s="46" t="s">
        <v>101</v>
      </c>
      <c r="M5" s="46" t="s">
        <v>103</v>
      </c>
      <c r="N5" s="46" t="s">
        <v>104</v>
      </c>
      <c r="O5" s="47" t="s">
        <v>179</v>
      </c>
      <c r="P5" s="46" t="s">
        <v>180</v>
      </c>
      <c r="Q5" s="46" t="s">
        <v>181</v>
      </c>
      <c r="R5" s="46" t="s">
        <v>182</v>
      </c>
      <c r="S5" s="46" t="s">
        <v>183</v>
      </c>
      <c r="T5" s="46" t="s">
        <v>184</v>
      </c>
      <c r="U5" s="47" t="s">
        <v>185</v>
      </c>
      <c r="V5" s="46" t="s">
        <v>186</v>
      </c>
      <c r="W5" s="47" t="s">
        <v>187</v>
      </c>
      <c r="X5" s="46" t="s">
        <v>188</v>
      </c>
      <c r="Y5" s="46" t="s">
        <v>188</v>
      </c>
    </row>
    <row r="6" spans="1:25" ht="25" customHeight="1" x14ac:dyDescent="0.3">
      <c r="A6" s="45" t="s">
        <v>189</v>
      </c>
      <c r="B6" s="45" t="s">
        <v>190</v>
      </c>
      <c r="C6" s="45" t="s">
        <v>191</v>
      </c>
      <c r="D6" s="45" t="s">
        <v>192</v>
      </c>
      <c r="E6" s="42"/>
      <c r="F6" s="42" t="s">
        <v>97</v>
      </c>
      <c r="G6" s="42" t="s">
        <v>98</v>
      </c>
      <c r="H6" s="42" t="s">
        <v>99</v>
      </c>
      <c r="I6" s="45" t="s">
        <v>193</v>
      </c>
      <c r="J6" s="45" t="s">
        <v>194</v>
      </c>
      <c r="K6" s="45" t="s">
        <v>195</v>
      </c>
      <c r="L6" s="46" t="s">
        <v>196</v>
      </c>
      <c r="M6" s="46" t="s">
        <v>103</v>
      </c>
      <c r="N6" s="46" t="s">
        <v>104</v>
      </c>
      <c r="O6" s="47" t="s">
        <v>197</v>
      </c>
      <c r="P6" s="46" t="s">
        <v>180</v>
      </c>
      <c r="Q6" s="46" t="s">
        <v>181</v>
      </c>
      <c r="R6" s="46" t="s">
        <v>182</v>
      </c>
      <c r="S6" s="46" t="s">
        <v>183</v>
      </c>
      <c r="T6" s="46" t="s">
        <v>184</v>
      </c>
      <c r="U6" s="47" t="s">
        <v>185</v>
      </c>
      <c r="V6" s="46" t="s">
        <v>186</v>
      </c>
      <c r="W6" s="47" t="s">
        <v>187</v>
      </c>
      <c r="X6" s="46" t="s">
        <v>188</v>
      </c>
      <c r="Y6" s="46" t="s">
        <v>188</v>
      </c>
    </row>
  </sheetData>
  <mergeCells count="2">
    <mergeCell ref="A3:K3"/>
    <mergeCell ref="L3:Y3"/>
  </mergeCells>
  <conditionalFormatting sqref="L5:L6">
    <cfRule type="cellIs" dxfId="88" priority="1" operator="equal">
      <formula>"Branco"</formula>
    </cfRule>
  </conditionalFormatting>
  <conditionalFormatting sqref="M5:M6">
    <cfRule type="cellIs" priority="2" operator="equal">
      <formula>"null"</formula>
    </cfRule>
  </conditionalFormatting>
  <conditionalFormatting sqref="N5:N6">
    <cfRule type="cellIs" dxfId="87" priority="3" operator="equal">
      <formula>"Bride Oficial"</formula>
    </cfRule>
  </conditionalFormatting>
  <conditionalFormatting sqref="P5:P6">
    <cfRule type="cellIs" dxfId="86" priority="4" operator="equal">
      <formula>"Masculino"</formula>
    </cfRule>
  </conditionalFormatting>
  <conditionalFormatting sqref="Q5:Q6">
    <cfRule type="cellIs" dxfId="85" priority="5" operator="equal">
      <formula>"Bermuda"</formula>
    </cfRule>
  </conditionalFormatting>
  <conditionalFormatting sqref="R5:R6">
    <cfRule type="cellIs" dxfId="84" priority="6" operator="equal">
      <formula>"Média"</formula>
    </cfRule>
  </conditionalFormatting>
  <conditionalFormatting sqref="S5:S6">
    <cfRule type="cellIs" dxfId="83" priority="7" operator="equal">
      <formula>"Reta"</formula>
    </cfRule>
  </conditionalFormatting>
  <conditionalFormatting sqref="T5:T6">
    <cfRule type="cellIs" dxfId="82" priority="8" operator="equal">
      <formula>"Algodão"</formula>
    </cfRule>
  </conditionalFormatting>
  <conditionalFormatting sqref="V5:V6">
    <cfRule type="cellIs" dxfId="81" priority="9" operator="equal">
      <formula>"Primavera/Verão"</formula>
    </cfRule>
  </conditionalFormatting>
  <conditionalFormatting sqref="X5:Y6">
    <cfRule type="cellIs" dxfId="80" priority="10" operator="equal">
      <formula>"Não"</formula>
    </cfRule>
  </conditionalFormatting>
  <dataValidations count="9">
    <dataValidation type="list" allowBlank="1" showInputMessage="1" sqref="L5:L6" xr:uid="{00000000-0002-0000-0200-000000000000}">
      <formula1>"Preto,Azul,Vermelho,Violeta,Marrom,Verde,Laranja,Azul celeste,Rosa,Dourado,Prateado,Amarelo,Cinza,Branco,Multicolorido,Bege"</formula1>
    </dataValidation>
    <dataValidation type="list" allowBlank="1" showInputMessage="1" sqref="M5:M6" xr:uid="{00000000-0002-0000-0200-000001000000}">
      <formula1>"Digite o código"</formula1>
    </dataValidation>
    <dataValidation type="list" allowBlank="1" showInputMessage="1" sqref="P5:P6" xr:uid="{00000000-0002-0000-0200-000003000000}">
      <formula1>"Feminino,Masculino,Meninas,Meninos,Bebês,Sem gênero infantil,Sem gênero"</formula1>
    </dataValidation>
    <dataValidation type="list" allowBlank="1" showInputMessage="1" sqref="Q5:Q6" xr:uid="{00000000-0002-0000-0200-000004000000}">
      <formula1>"Short saia,Bermuda,Short"</formula1>
    </dataValidation>
    <dataValidation type="list" allowBlank="1" showInputMessage="1" sqref="R5:R6" xr:uid="{00000000-0002-0000-0200-000005000000}">
      <formula1>"Alta,Baixa,Média"</formula1>
    </dataValidation>
    <dataValidation type="list" allowBlank="1" showInputMessage="1" sqref="S5:S6" xr:uid="{00000000-0002-0000-0200-000006000000}">
      <formula1>"Reta,Larga,Slim,Oversized"</formula1>
    </dataValidation>
    <dataValidation type="list" allowBlank="1" showInputMessage="1" sqref="T5:T6" xr:uid="{00000000-0002-0000-0200-000007000000}">
      <formula1>"Microfibra,Poliéster,Jeans,Algodão,Cotelé,Couro,Drill,Fibrana,Gabardine,Jacquard,Lã,Linho,Lurex,Lycra,Lantejoulas,Sarga,Cetim,Seda,Veludo,Viscose"</formula1>
    </dataValidation>
    <dataValidation type="list" allowBlank="1" showInputMessage="1" sqref="V5:V6" xr:uid="{00000000-0002-0000-0200-000008000000}">
      <formula1>"Primavera/Verão,Outono/Inverno"</formula1>
    </dataValidation>
    <dataValidation type="list" allowBlank="1" showInputMessage="1" sqref="X5:Y6" xr:uid="{00000000-0002-0000-0200-000009000000}">
      <formula1>"Não,Sim"</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numberStoredAsText="1"/>
  </ignoredErrors>
  <extLst>
    <ext xmlns:x14="http://schemas.microsoft.com/office/spreadsheetml/2009/9/main" uri="{CCE6A557-97BC-4b89-ADB6-D9C93CAAB3DF}">
      <x14:dataValidations xmlns:xm="http://schemas.microsoft.com/office/excel/2006/main" count="1">
        <x14:dataValidation type="list" allowBlank="1" showInputMessage="1" xr:uid="{00000000-0002-0000-0200-000002000000}">
          <x14:formula1>
            <xm:f>hidden!$A$2:$BW$2</xm:f>
          </x14:formula1>
          <xm:sqref>N5:N6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7" width="23.4609375" customWidth="1"/>
  </cols>
  <sheetData>
    <row r="1" spans="1:27" hidden="1" x14ac:dyDescent="0.3">
      <c r="A1" s="42" t="s">
        <v>39</v>
      </c>
      <c r="B1" s="42" t="s">
        <v>40</v>
      </c>
      <c r="C1" s="42" t="s">
        <v>41</v>
      </c>
      <c r="D1" s="42" t="s">
        <v>42</v>
      </c>
      <c r="E1" s="42" t="s">
        <v>43</v>
      </c>
      <c r="F1" s="42" t="s">
        <v>44</v>
      </c>
      <c r="G1" s="42" t="s">
        <v>45</v>
      </c>
      <c r="H1" s="42" t="s">
        <v>46</v>
      </c>
      <c r="I1" s="42" t="s">
        <v>47</v>
      </c>
      <c r="J1" s="42" t="s">
        <v>48</v>
      </c>
      <c r="K1" s="42" t="s">
        <v>50</v>
      </c>
      <c r="L1" s="42" t="s">
        <v>51</v>
      </c>
      <c r="M1" s="42" t="s">
        <v>52</v>
      </c>
      <c r="N1" s="42" t="s">
        <v>198</v>
      </c>
      <c r="O1" s="42" t="s">
        <v>199</v>
      </c>
      <c r="P1" s="42" t="s">
        <v>200</v>
      </c>
      <c r="Q1" s="42" t="s">
        <v>201</v>
      </c>
      <c r="R1" s="42" t="s">
        <v>202</v>
      </c>
      <c r="S1" s="42" t="s">
        <v>203</v>
      </c>
      <c r="T1" s="42" t="s">
        <v>204</v>
      </c>
      <c r="U1" s="42" t="s">
        <v>205</v>
      </c>
      <c r="V1" s="42" t="s">
        <v>206</v>
      </c>
      <c r="W1" s="42" t="s">
        <v>207</v>
      </c>
      <c r="X1" s="42" t="s">
        <v>208</v>
      </c>
      <c r="Y1" s="42" t="s">
        <v>209</v>
      </c>
      <c r="Z1" s="42" t="s">
        <v>210</v>
      </c>
      <c r="AA1" s="42" t="s">
        <v>211</v>
      </c>
    </row>
    <row r="2" spans="1:27"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66</v>
      </c>
      <c r="S2" s="42" t="s">
        <v>66</v>
      </c>
      <c r="T2" s="42" t="s">
        <v>66</v>
      </c>
      <c r="U2" s="42" t="s">
        <v>66</v>
      </c>
      <c r="V2" s="42" t="s">
        <v>66</v>
      </c>
      <c r="W2" s="42" t="s">
        <v>66</v>
      </c>
      <c r="X2" s="42" t="s">
        <v>66</v>
      </c>
      <c r="Y2" s="42" t="s">
        <v>212</v>
      </c>
      <c r="Z2" s="42" t="s">
        <v>66</v>
      </c>
      <c r="AA2" s="42" t="s">
        <v>66</v>
      </c>
    </row>
    <row r="3" spans="1:27" ht="60" customHeight="1" x14ac:dyDescent="0.3">
      <c r="A3" s="103" t="s">
        <v>213</v>
      </c>
      <c r="B3" s="52"/>
      <c r="C3" s="52"/>
      <c r="D3" s="52"/>
      <c r="E3" s="52"/>
      <c r="F3" s="52"/>
      <c r="G3" s="52"/>
      <c r="H3" s="52"/>
      <c r="I3" s="52"/>
      <c r="J3" s="52"/>
      <c r="K3" s="104" t="s">
        <v>68</v>
      </c>
      <c r="L3" s="52"/>
      <c r="M3" s="52"/>
      <c r="N3" s="52"/>
      <c r="O3" s="52"/>
      <c r="P3" s="52"/>
      <c r="Q3" s="52"/>
      <c r="R3" s="52"/>
      <c r="S3" s="52"/>
      <c r="T3" s="52"/>
      <c r="U3" s="52"/>
      <c r="V3" s="52"/>
      <c r="W3" s="52"/>
      <c r="X3" s="52"/>
      <c r="Y3" s="52"/>
      <c r="Z3" s="52"/>
      <c r="AA3" s="52"/>
    </row>
    <row r="4" spans="1:27" ht="25" customHeight="1" x14ac:dyDescent="0.3">
      <c r="A4" s="43" t="s">
        <v>69</v>
      </c>
      <c r="B4" s="43" t="s">
        <v>70</v>
      </c>
      <c r="C4" s="43" t="s">
        <v>71</v>
      </c>
      <c r="D4" s="43" t="s">
        <v>42</v>
      </c>
      <c r="E4" s="43" t="s">
        <v>72</v>
      </c>
      <c r="F4" s="43" t="s">
        <v>73</v>
      </c>
      <c r="G4" s="43" t="s">
        <v>74</v>
      </c>
      <c r="H4" s="43" t="s">
        <v>75</v>
      </c>
      <c r="I4" s="43" t="s">
        <v>76</v>
      </c>
      <c r="J4" s="43" t="s">
        <v>77</v>
      </c>
      <c r="K4" s="44" t="s">
        <v>79</v>
      </c>
      <c r="L4" s="44" t="s">
        <v>80</v>
      </c>
      <c r="M4" s="44" t="s">
        <v>81</v>
      </c>
      <c r="N4" s="44" t="s">
        <v>214</v>
      </c>
      <c r="O4" s="44" t="s">
        <v>215</v>
      </c>
      <c r="P4" s="44" t="s">
        <v>216</v>
      </c>
      <c r="Q4" s="44" t="s">
        <v>217</v>
      </c>
      <c r="R4" s="44" t="s">
        <v>218</v>
      </c>
      <c r="S4" s="44" t="s">
        <v>219</v>
      </c>
      <c r="T4" s="44" t="s">
        <v>220</v>
      </c>
      <c r="U4" s="44" t="s">
        <v>221</v>
      </c>
      <c r="V4" s="44" t="s">
        <v>222</v>
      </c>
      <c r="W4" s="44" t="s">
        <v>223</v>
      </c>
      <c r="X4" s="44" t="s">
        <v>224</v>
      </c>
      <c r="Y4" s="44" t="s">
        <v>225</v>
      </c>
      <c r="Z4" s="44" t="s">
        <v>226</v>
      </c>
      <c r="AA4" s="44" t="s">
        <v>227</v>
      </c>
    </row>
    <row r="5" spans="1:27" ht="25" customHeight="1" x14ac:dyDescent="0.3">
      <c r="A5" s="45" t="s">
        <v>228</v>
      </c>
      <c r="B5" s="45" t="s">
        <v>229</v>
      </c>
      <c r="C5" s="45" t="s">
        <v>230</v>
      </c>
      <c r="D5" s="45" t="s">
        <v>231</v>
      </c>
      <c r="E5" s="42"/>
      <c r="F5" s="42" t="s">
        <v>232</v>
      </c>
      <c r="G5" s="42" t="s">
        <v>233</v>
      </c>
      <c r="H5" s="42" t="s">
        <v>99</v>
      </c>
      <c r="I5" s="45" t="s">
        <v>234</v>
      </c>
      <c r="J5" s="45" t="s">
        <v>235</v>
      </c>
      <c r="K5" s="46" t="s">
        <v>235</v>
      </c>
      <c r="L5" s="46" t="s">
        <v>289</v>
      </c>
      <c r="M5" s="46" t="s">
        <v>290</v>
      </c>
      <c r="N5" s="47" t="s">
        <v>342</v>
      </c>
      <c r="O5" s="47" t="s">
        <v>99</v>
      </c>
      <c r="P5" s="46" t="s">
        <v>343</v>
      </c>
      <c r="Q5" s="47" t="s">
        <v>344</v>
      </c>
      <c r="R5" s="47" t="s">
        <v>345</v>
      </c>
      <c r="S5" s="46" t="s">
        <v>346</v>
      </c>
      <c r="T5" s="47" t="s">
        <v>347</v>
      </c>
      <c r="U5" s="47" t="s">
        <v>99</v>
      </c>
      <c r="V5" s="46" t="s">
        <v>348</v>
      </c>
      <c r="W5" s="46" t="s">
        <v>188</v>
      </c>
      <c r="X5" s="46"/>
      <c r="Y5" s="46" t="s">
        <v>99</v>
      </c>
      <c r="Z5" s="46" t="s">
        <v>349</v>
      </c>
      <c r="AA5" s="46" t="s">
        <v>350</v>
      </c>
    </row>
  </sheetData>
  <mergeCells count="2">
    <mergeCell ref="A3:J3"/>
    <mergeCell ref="K3:AA3"/>
  </mergeCells>
  <conditionalFormatting sqref="L5">
    <cfRule type="cellIs" priority="1" operator="equal">
      <formula>"null"</formula>
    </cfRule>
  </conditionalFormatting>
  <conditionalFormatting sqref="M5">
    <cfRule type="cellIs" dxfId="79" priority="2" operator="equal">
      <formula>"Veiculos de Brinquedo,carro brinquedo,carrinhos de brinquedo,carrinho,controle remoto,miniaturas,brinquedo infantil,trator de brinquedo,trator brinquedo,Veículos em Miniatura"</formula>
    </cfRule>
  </conditionalFormatting>
  <conditionalFormatting sqref="P5">
    <cfRule type="cellIs" dxfId="78" priority="3" operator="equal">
      <formula>"1:42"</formula>
    </cfRule>
  </conditionalFormatting>
  <conditionalFormatting sqref="S5">
    <cfRule type="cellIs" dxfId="77" priority="4" operator="equal">
      <formula>"Unidade"</formula>
    </cfRule>
  </conditionalFormatting>
  <conditionalFormatting sqref="V5">
    <cfRule type="cellIs" dxfId="76" priority="5" operator="equal">
      <formula>"Ferro"</formula>
    </cfRule>
  </conditionalFormatting>
  <conditionalFormatting sqref="W5">
    <cfRule type="cellIs" dxfId="75" priority="6" operator="equal">
      <formula>"Não"</formula>
    </cfRule>
  </conditionalFormatting>
  <conditionalFormatting sqref="Y5">
    <cfRule type="cellIs" dxfId="74" priority="7" operator="equal">
      <formula>""</formula>
    </cfRule>
  </conditionalFormatting>
  <conditionalFormatting sqref="Z5">
    <cfRule type="cellIs" dxfId="73" priority="8" operator="equal">
      <formula>"Carro/Caminhonete"</formula>
    </cfRule>
  </conditionalFormatting>
  <conditionalFormatting sqref="AA5">
    <cfRule type="cellIs" dxfId="72" priority="9" operator="equal">
      <formula>"Sim"</formula>
    </cfRule>
  </conditionalFormatting>
  <dataValidations count="7">
    <dataValidation type="list" allowBlank="1" showInputMessage="1" sqref="L5" xr:uid="{00000000-0002-0000-0300-000001000000}">
      <formula1>"Digite o código"</formula1>
    </dataValidation>
    <dataValidation type="list" allowBlank="1" showInputMessage="1" sqref="P5" xr:uid="{00000000-0002-0000-0300-000003000000}">
      <formula1>"1:12,1:16,1:18,1:24,1:25,1:28,1:32,1:34,1:36,1:38,1:43,1:48,1:50,1:55,1:60,1:64,1:72,1:87"</formula1>
    </dataValidation>
    <dataValidation type="list" allowBlank="1" showInputMessage="1" sqref="S5" xr:uid="{00000000-0002-0000-0300-000004000000}">
      <formula1>"Unidade,Kit"</formula1>
    </dataValidation>
    <dataValidation type="list" allowBlank="1" showInputMessage="1" sqref="V5" xr:uid="{00000000-0002-0000-0300-000005000000}">
      <formula1>"Chumbo,Madeira,Metal,Plástico,Resina"</formula1>
    </dataValidation>
    <dataValidation type="list" allowBlank="1" showInputMessage="1" sqref="W5 AA5" xr:uid="{00000000-0002-0000-0300-000006000000}">
      <formula1>"Não,Sim"</formula1>
    </dataValidation>
    <dataValidation type="list" allowBlank="1" showInputMessage="1" sqref="Y5" xr:uid="{00000000-0002-0000-0300-000007000000}">
      <formula1>"meses,anos"</formula1>
    </dataValidation>
    <dataValidation type="list" allowBlank="1" showInputMessage="1" sqref="Z5" xr:uid="{00000000-0002-0000-0300-000008000000}">
      <formula1>"Carro/Caminhonete"</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numberStoredAsText="1"/>
  </ignoredErrors>
  <extLst>
    <ext xmlns:x14="http://schemas.microsoft.com/office/spreadsheetml/2009/9/main" uri="{CCE6A557-97BC-4b89-ADB6-D9C93CAAB3DF}">
      <x14:dataValidations xmlns:xm="http://schemas.microsoft.com/office/excel/2006/main" count="2">
        <x14:dataValidation type="list" allowBlank="1" showInputMessage="1" xr:uid="{00000000-0002-0000-0300-000000000000}">
          <x14:formula1>
            <xm:f>hidden!$A$3:$BC$3</xm:f>
          </x14:formula1>
          <xm:sqref>K5</xm:sqref>
        </x14:dataValidation>
        <x14:dataValidation type="list" allowBlank="1" showInputMessage="1" xr:uid="{00000000-0002-0000-0300-000002000000}">
          <x14:formula1>
            <xm:f>hidden!$A$4:$AZ$4</xm:f>
          </x14:formula1>
          <xm:sqref>M5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E6"/>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1" width="23.4609375" customWidth="1"/>
  </cols>
  <sheetData>
    <row r="1" spans="1:31" hidden="1" x14ac:dyDescent="0.3">
      <c r="A1" s="42" t="s">
        <v>39</v>
      </c>
      <c r="B1" s="42" t="s">
        <v>40</v>
      </c>
      <c r="C1" s="42" t="s">
        <v>41</v>
      </c>
      <c r="D1" s="42" t="s">
        <v>42</v>
      </c>
      <c r="E1" s="42" t="s">
        <v>43</v>
      </c>
      <c r="F1" s="42" t="s">
        <v>44</v>
      </c>
      <c r="G1" s="42" t="s">
        <v>45</v>
      </c>
      <c r="H1" s="42" t="s">
        <v>46</v>
      </c>
      <c r="I1" s="42" t="s">
        <v>47</v>
      </c>
      <c r="J1" s="42" t="s">
        <v>48</v>
      </c>
      <c r="K1" s="42" t="s">
        <v>50</v>
      </c>
      <c r="L1" s="42" t="s">
        <v>51</v>
      </c>
      <c r="M1" s="42" t="s">
        <v>52</v>
      </c>
      <c r="N1" s="42" t="s">
        <v>53</v>
      </c>
      <c r="O1" s="42" t="s">
        <v>351</v>
      </c>
      <c r="P1" s="42" t="s">
        <v>352</v>
      </c>
      <c r="Q1" s="42" t="s">
        <v>205</v>
      </c>
      <c r="R1" s="42" t="s">
        <v>353</v>
      </c>
      <c r="S1" s="42" t="s">
        <v>354</v>
      </c>
      <c r="T1" s="42" t="s">
        <v>355</v>
      </c>
      <c r="U1" s="42" t="s">
        <v>356</v>
      </c>
      <c r="V1" s="42" t="s">
        <v>357</v>
      </c>
      <c r="W1" s="42" t="s">
        <v>358</v>
      </c>
      <c r="X1" s="42" t="s">
        <v>208</v>
      </c>
      <c r="Y1" s="42" t="s">
        <v>209</v>
      </c>
      <c r="Z1" s="42" t="s">
        <v>359</v>
      </c>
      <c r="AA1" s="42" t="s">
        <v>360</v>
      </c>
      <c r="AB1" s="42" t="s">
        <v>361</v>
      </c>
      <c r="AC1" s="42" t="s">
        <v>362</v>
      </c>
      <c r="AD1" s="42" t="s">
        <v>363</v>
      </c>
      <c r="AE1" s="42" t="s">
        <v>364</v>
      </c>
    </row>
    <row r="2" spans="1:31"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66</v>
      </c>
      <c r="S2" s="42" t="s">
        <v>212</v>
      </c>
      <c r="T2" s="42" t="s">
        <v>66</v>
      </c>
      <c r="U2" s="42" t="s">
        <v>212</v>
      </c>
      <c r="V2" s="42" t="s">
        <v>66</v>
      </c>
      <c r="W2" s="42" t="s">
        <v>212</v>
      </c>
      <c r="X2" s="42" t="s">
        <v>66</v>
      </c>
      <c r="Y2" s="42" t="s">
        <v>212</v>
      </c>
      <c r="Z2" s="42" t="s">
        <v>66</v>
      </c>
      <c r="AA2" s="42" t="s">
        <v>212</v>
      </c>
      <c r="AB2" s="42" t="s">
        <v>66</v>
      </c>
      <c r="AC2" s="42" t="s">
        <v>66</v>
      </c>
      <c r="AD2" s="42" t="s">
        <v>212</v>
      </c>
      <c r="AE2" s="42" t="s">
        <v>66</v>
      </c>
    </row>
    <row r="3" spans="1:31" ht="60" customHeight="1" x14ac:dyDescent="0.3">
      <c r="A3" s="103" t="s">
        <v>365</v>
      </c>
      <c r="B3" s="52"/>
      <c r="C3" s="52"/>
      <c r="D3" s="52"/>
      <c r="E3" s="52"/>
      <c r="F3" s="52"/>
      <c r="G3" s="52"/>
      <c r="H3" s="52"/>
      <c r="I3" s="52"/>
      <c r="J3" s="52"/>
      <c r="K3" s="104" t="s">
        <v>68</v>
      </c>
      <c r="L3" s="52"/>
      <c r="M3" s="52"/>
      <c r="N3" s="52"/>
      <c r="O3" s="52"/>
      <c r="P3" s="52"/>
      <c r="Q3" s="52"/>
      <c r="R3" s="52"/>
      <c r="S3" s="52"/>
      <c r="T3" s="52"/>
      <c r="U3" s="52"/>
      <c r="V3" s="52"/>
      <c r="W3" s="52"/>
      <c r="X3" s="52"/>
      <c r="Y3" s="52"/>
      <c r="Z3" s="52"/>
      <c r="AA3" s="52"/>
      <c r="AB3" s="52"/>
      <c r="AC3" s="52"/>
      <c r="AD3" s="52"/>
      <c r="AE3" s="52"/>
    </row>
    <row r="4" spans="1:31" ht="25" customHeight="1" x14ac:dyDescent="0.3">
      <c r="A4" s="43" t="s">
        <v>69</v>
      </c>
      <c r="B4" s="43" t="s">
        <v>70</v>
      </c>
      <c r="C4" s="43" t="s">
        <v>71</v>
      </c>
      <c r="D4" s="43" t="s">
        <v>42</v>
      </c>
      <c r="E4" s="43" t="s">
        <v>72</v>
      </c>
      <c r="F4" s="43" t="s">
        <v>73</v>
      </c>
      <c r="G4" s="43" t="s">
        <v>74</v>
      </c>
      <c r="H4" s="43" t="s">
        <v>75</v>
      </c>
      <c r="I4" s="43" t="s">
        <v>76</v>
      </c>
      <c r="J4" s="43" t="s">
        <v>77</v>
      </c>
      <c r="K4" s="44" t="s">
        <v>79</v>
      </c>
      <c r="L4" s="44" t="s">
        <v>80</v>
      </c>
      <c r="M4" s="44" t="s">
        <v>81</v>
      </c>
      <c r="N4" s="44" t="s">
        <v>82</v>
      </c>
      <c r="O4" s="44" t="s">
        <v>366</v>
      </c>
      <c r="P4" s="44" t="s">
        <v>367</v>
      </c>
      <c r="Q4" s="44" t="s">
        <v>221</v>
      </c>
      <c r="R4" s="44" t="s">
        <v>368</v>
      </c>
      <c r="S4" s="44" t="s">
        <v>369</v>
      </c>
      <c r="T4" s="44" t="s">
        <v>370</v>
      </c>
      <c r="U4" s="44" t="s">
        <v>371</v>
      </c>
      <c r="V4" s="44" t="s">
        <v>372</v>
      </c>
      <c r="W4" s="44" t="s">
        <v>373</v>
      </c>
      <c r="X4" s="44" t="s">
        <v>224</v>
      </c>
      <c r="Y4" s="44" t="s">
        <v>225</v>
      </c>
      <c r="Z4" s="44" t="s">
        <v>374</v>
      </c>
      <c r="AA4" s="44" t="s">
        <v>375</v>
      </c>
      <c r="AB4" s="44" t="s">
        <v>376</v>
      </c>
      <c r="AC4" s="44" t="s">
        <v>377</v>
      </c>
      <c r="AD4" s="44" t="s">
        <v>378</v>
      </c>
      <c r="AE4" s="44" t="s">
        <v>379</v>
      </c>
    </row>
    <row r="5" spans="1:31" ht="25" customHeight="1" x14ac:dyDescent="0.3">
      <c r="A5" s="45" t="s">
        <v>380</v>
      </c>
      <c r="B5" s="45" t="s">
        <v>381</v>
      </c>
      <c r="C5" s="45" t="s">
        <v>382</v>
      </c>
      <c r="D5" s="45" t="s">
        <v>383</v>
      </c>
      <c r="E5" s="42"/>
      <c r="F5" s="42" t="s">
        <v>384</v>
      </c>
      <c r="G5" s="42" t="s">
        <v>385</v>
      </c>
      <c r="H5" s="42" t="s">
        <v>99</v>
      </c>
      <c r="I5" s="45" t="s">
        <v>386</v>
      </c>
      <c r="J5" s="45" t="s">
        <v>237</v>
      </c>
      <c r="K5" s="45" t="s">
        <v>237</v>
      </c>
      <c r="L5" s="45" t="s">
        <v>387</v>
      </c>
      <c r="M5" s="45" t="s">
        <v>388</v>
      </c>
      <c r="N5" s="45" t="s">
        <v>389</v>
      </c>
      <c r="O5" s="45" t="s">
        <v>390</v>
      </c>
      <c r="P5" s="45" t="s">
        <v>391</v>
      </c>
      <c r="Q5" s="45" t="s">
        <v>99</v>
      </c>
      <c r="R5" s="45" t="s">
        <v>392</v>
      </c>
      <c r="S5" s="45" t="s">
        <v>393</v>
      </c>
      <c r="T5" s="45" t="s">
        <v>394</v>
      </c>
      <c r="U5" s="45" t="s">
        <v>393</v>
      </c>
      <c r="V5" s="45" t="s">
        <v>395</v>
      </c>
      <c r="W5" s="45" t="s">
        <v>396</v>
      </c>
      <c r="X5" s="45" t="s">
        <v>347</v>
      </c>
      <c r="Y5" s="45" t="s">
        <v>397</v>
      </c>
      <c r="Z5" s="45" t="s">
        <v>398</v>
      </c>
      <c r="AA5" s="45" t="s">
        <v>397</v>
      </c>
      <c r="AB5" s="45" t="s">
        <v>399</v>
      </c>
      <c r="AC5" s="45" t="s">
        <v>400</v>
      </c>
      <c r="AD5" s="45" t="s">
        <v>393</v>
      </c>
      <c r="AE5" s="45" t="s">
        <v>401</v>
      </c>
    </row>
    <row r="6" spans="1:31" ht="25" customHeight="1" x14ac:dyDescent="0.3">
      <c r="A6" s="45" t="s">
        <v>402</v>
      </c>
      <c r="B6" s="45" t="s">
        <v>403</v>
      </c>
      <c r="C6" s="45" t="s">
        <v>404</v>
      </c>
      <c r="D6" s="45" t="s">
        <v>383</v>
      </c>
      <c r="E6" s="42"/>
      <c r="F6" s="42" t="s">
        <v>384</v>
      </c>
      <c r="G6" s="42" t="s">
        <v>385</v>
      </c>
      <c r="H6" s="42" t="s">
        <v>99</v>
      </c>
      <c r="I6" s="45" t="s">
        <v>405</v>
      </c>
      <c r="J6" s="45" t="s">
        <v>237</v>
      </c>
      <c r="K6" s="45" t="s">
        <v>237</v>
      </c>
      <c r="L6" s="45" t="s">
        <v>406</v>
      </c>
      <c r="M6" s="45" t="s">
        <v>407</v>
      </c>
      <c r="N6" s="45" t="s">
        <v>408</v>
      </c>
      <c r="O6" s="45" t="s">
        <v>390</v>
      </c>
      <c r="P6" s="45" t="s">
        <v>99</v>
      </c>
      <c r="Q6" s="45" t="s">
        <v>99</v>
      </c>
      <c r="R6" s="45" t="s">
        <v>409</v>
      </c>
      <c r="S6" s="45" t="s">
        <v>393</v>
      </c>
      <c r="T6" s="45" t="s">
        <v>394</v>
      </c>
      <c r="U6" s="45" t="s">
        <v>393</v>
      </c>
      <c r="V6" s="45" t="s">
        <v>410</v>
      </c>
      <c r="W6" s="45" t="s">
        <v>396</v>
      </c>
      <c r="X6" s="45" t="s">
        <v>411</v>
      </c>
      <c r="Y6" s="45" t="s">
        <v>397</v>
      </c>
      <c r="Z6" s="45" t="s">
        <v>412</v>
      </c>
      <c r="AA6" s="45" t="s">
        <v>397</v>
      </c>
      <c r="AB6" s="45" t="s">
        <v>399</v>
      </c>
      <c r="AC6" s="45" t="s">
        <v>400</v>
      </c>
      <c r="AD6" s="45" t="s">
        <v>393</v>
      </c>
      <c r="AE6" s="45" t="s">
        <v>401</v>
      </c>
    </row>
  </sheetData>
  <mergeCells count="2">
    <mergeCell ref="A3:J3"/>
    <mergeCell ref="K3:AE3"/>
  </mergeCell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AE3:AE1000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7"/>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5" width="23.4609375" customWidth="1"/>
  </cols>
  <sheetData>
    <row r="1" spans="1:35" hidden="1" x14ac:dyDescent="0.3">
      <c r="A1" s="42" t="s">
        <v>39</v>
      </c>
      <c r="B1" s="42" t="s">
        <v>40</v>
      </c>
      <c r="C1" s="42" t="s">
        <v>41</v>
      </c>
      <c r="D1" s="42" t="s">
        <v>42</v>
      </c>
      <c r="E1" s="42" t="s">
        <v>43</v>
      </c>
      <c r="F1" s="42" t="s">
        <v>44</v>
      </c>
      <c r="G1" s="42" t="s">
        <v>45</v>
      </c>
      <c r="H1" s="42" t="s">
        <v>46</v>
      </c>
      <c r="I1" s="42" t="s">
        <v>47</v>
      </c>
      <c r="J1" s="42" t="s">
        <v>48</v>
      </c>
      <c r="K1" s="42" t="s">
        <v>51</v>
      </c>
      <c r="L1" s="42" t="s">
        <v>52</v>
      </c>
      <c r="M1" s="42" t="s">
        <v>53</v>
      </c>
      <c r="N1" s="42" t="s">
        <v>203</v>
      </c>
      <c r="O1" s="42" t="s">
        <v>204</v>
      </c>
      <c r="P1" s="42" t="s">
        <v>413</v>
      </c>
      <c r="Q1" s="42" t="s">
        <v>205</v>
      </c>
      <c r="R1" s="42" t="s">
        <v>414</v>
      </c>
      <c r="S1" s="42" t="s">
        <v>353</v>
      </c>
      <c r="T1" s="42" t="s">
        <v>354</v>
      </c>
      <c r="U1" s="42" t="s">
        <v>355</v>
      </c>
      <c r="V1" s="42" t="s">
        <v>356</v>
      </c>
      <c r="W1" s="42" t="s">
        <v>415</v>
      </c>
      <c r="X1" s="42" t="s">
        <v>416</v>
      </c>
      <c r="Y1" s="42" t="s">
        <v>417</v>
      </c>
      <c r="Z1" s="42" t="s">
        <v>418</v>
      </c>
      <c r="AA1" s="42" t="s">
        <v>208</v>
      </c>
      <c r="AB1" s="42" t="s">
        <v>209</v>
      </c>
      <c r="AC1" s="42" t="s">
        <v>359</v>
      </c>
      <c r="AD1" s="42" t="s">
        <v>360</v>
      </c>
      <c r="AE1" s="42" t="s">
        <v>419</v>
      </c>
      <c r="AF1" s="42" t="s">
        <v>420</v>
      </c>
      <c r="AG1" s="42" t="s">
        <v>421</v>
      </c>
      <c r="AH1" s="42" t="s">
        <v>364</v>
      </c>
      <c r="AI1" s="42" t="s">
        <v>422</v>
      </c>
    </row>
    <row r="2" spans="1:35"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66</v>
      </c>
      <c r="S2" s="42" t="s">
        <v>66</v>
      </c>
      <c r="T2" s="42" t="s">
        <v>212</v>
      </c>
      <c r="U2" s="42" t="s">
        <v>66</v>
      </c>
      <c r="V2" s="42" t="s">
        <v>212</v>
      </c>
      <c r="W2" s="42" t="s">
        <v>66</v>
      </c>
      <c r="X2" s="42" t="s">
        <v>212</v>
      </c>
      <c r="Y2" s="42" t="s">
        <v>66</v>
      </c>
      <c r="Z2" s="42" t="s">
        <v>212</v>
      </c>
      <c r="AA2" s="42" t="s">
        <v>66</v>
      </c>
      <c r="AB2" s="42" t="s">
        <v>212</v>
      </c>
      <c r="AC2" s="42" t="s">
        <v>66</v>
      </c>
      <c r="AD2" s="42" t="s">
        <v>212</v>
      </c>
      <c r="AE2" s="42" t="s">
        <v>66</v>
      </c>
      <c r="AF2" s="42" t="s">
        <v>66</v>
      </c>
      <c r="AG2" s="42" t="s">
        <v>66</v>
      </c>
      <c r="AH2" s="42" t="s">
        <v>66</v>
      </c>
      <c r="AI2" s="42" t="s">
        <v>66</v>
      </c>
    </row>
    <row r="3" spans="1:35" ht="60" customHeight="1" x14ac:dyDescent="0.3">
      <c r="A3" s="103" t="s">
        <v>423</v>
      </c>
      <c r="B3" s="52"/>
      <c r="C3" s="52"/>
      <c r="D3" s="52"/>
      <c r="E3" s="52"/>
      <c r="F3" s="52"/>
      <c r="G3" s="52"/>
      <c r="H3" s="52"/>
      <c r="I3" s="52"/>
      <c r="J3" s="52"/>
      <c r="K3" s="104" t="s">
        <v>68</v>
      </c>
      <c r="L3" s="52"/>
      <c r="M3" s="52"/>
      <c r="N3" s="52"/>
      <c r="O3" s="52"/>
      <c r="P3" s="52"/>
      <c r="Q3" s="52"/>
      <c r="R3" s="52"/>
      <c r="S3" s="52"/>
      <c r="T3" s="52"/>
      <c r="U3" s="52"/>
      <c r="V3" s="52"/>
      <c r="W3" s="52"/>
      <c r="X3" s="52"/>
      <c r="Y3" s="52"/>
      <c r="Z3" s="52"/>
      <c r="AA3" s="52"/>
      <c r="AB3" s="52"/>
      <c r="AC3" s="52"/>
      <c r="AD3" s="52"/>
      <c r="AE3" s="52"/>
      <c r="AF3" s="52"/>
      <c r="AG3" s="52"/>
      <c r="AH3" s="52"/>
      <c r="AI3" s="52"/>
    </row>
    <row r="4" spans="1:35" ht="25" customHeight="1" x14ac:dyDescent="0.3">
      <c r="A4" s="43" t="s">
        <v>69</v>
      </c>
      <c r="B4" s="43" t="s">
        <v>70</v>
      </c>
      <c r="C4" s="43" t="s">
        <v>71</v>
      </c>
      <c r="D4" s="43" t="s">
        <v>42</v>
      </c>
      <c r="E4" s="43" t="s">
        <v>72</v>
      </c>
      <c r="F4" s="43" t="s">
        <v>73</v>
      </c>
      <c r="G4" s="43" t="s">
        <v>74</v>
      </c>
      <c r="H4" s="43" t="s">
        <v>75</v>
      </c>
      <c r="I4" s="43" t="s">
        <v>76</v>
      </c>
      <c r="J4" s="43" t="s">
        <v>77</v>
      </c>
      <c r="K4" s="44" t="s">
        <v>80</v>
      </c>
      <c r="L4" s="44" t="s">
        <v>81</v>
      </c>
      <c r="M4" s="44" t="s">
        <v>82</v>
      </c>
      <c r="N4" s="44" t="s">
        <v>219</v>
      </c>
      <c r="O4" s="44" t="s">
        <v>220</v>
      </c>
      <c r="P4" s="44" t="s">
        <v>424</v>
      </c>
      <c r="Q4" s="44" t="s">
        <v>221</v>
      </c>
      <c r="R4" s="44" t="s">
        <v>425</v>
      </c>
      <c r="S4" s="44" t="s">
        <v>368</v>
      </c>
      <c r="T4" s="44" t="s">
        <v>369</v>
      </c>
      <c r="U4" s="44" t="s">
        <v>370</v>
      </c>
      <c r="V4" s="44" t="s">
        <v>371</v>
      </c>
      <c r="W4" s="44" t="s">
        <v>426</v>
      </c>
      <c r="X4" s="44" t="s">
        <v>427</v>
      </c>
      <c r="Y4" s="44" t="s">
        <v>428</v>
      </c>
      <c r="Z4" s="44" t="s">
        <v>429</v>
      </c>
      <c r="AA4" s="44" t="s">
        <v>224</v>
      </c>
      <c r="AB4" s="44" t="s">
        <v>225</v>
      </c>
      <c r="AC4" s="44" t="s">
        <v>374</v>
      </c>
      <c r="AD4" s="44" t="s">
        <v>375</v>
      </c>
      <c r="AE4" s="44" t="s">
        <v>430</v>
      </c>
      <c r="AF4" s="44" t="s">
        <v>431</v>
      </c>
      <c r="AG4" s="44" t="s">
        <v>432</v>
      </c>
      <c r="AH4" s="44" t="s">
        <v>379</v>
      </c>
      <c r="AI4" s="44" t="s">
        <v>433</v>
      </c>
    </row>
    <row r="5" spans="1:35" ht="25" customHeight="1" x14ac:dyDescent="0.3">
      <c r="A5" s="45" t="s">
        <v>434</v>
      </c>
      <c r="B5" s="45" t="s">
        <v>435</v>
      </c>
      <c r="C5" s="45" t="s">
        <v>436</v>
      </c>
      <c r="D5" s="45" t="s">
        <v>437</v>
      </c>
      <c r="E5" s="42"/>
      <c r="F5" s="42" t="s">
        <v>438</v>
      </c>
      <c r="G5" s="42" t="s">
        <v>439</v>
      </c>
      <c r="H5" s="42" t="s">
        <v>99</v>
      </c>
      <c r="I5" s="45" t="s">
        <v>440</v>
      </c>
      <c r="J5" s="45" t="s">
        <v>441</v>
      </c>
      <c r="K5" s="45" t="s">
        <v>442</v>
      </c>
      <c r="L5" s="45" t="s">
        <v>443</v>
      </c>
      <c r="M5" s="45" t="s">
        <v>444</v>
      </c>
      <c r="N5" s="45" t="s">
        <v>99</v>
      </c>
      <c r="O5" s="45" t="s">
        <v>347</v>
      </c>
      <c r="P5" s="45" t="s">
        <v>99</v>
      </c>
      <c r="Q5" s="45" t="s">
        <v>99</v>
      </c>
      <c r="R5" s="45" t="s">
        <v>445</v>
      </c>
      <c r="S5" s="45" t="s">
        <v>446</v>
      </c>
      <c r="T5" s="45" t="s">
        <v>393</v>
      </c>
      <c r="U5" s="45" t="s">
        <v>447</v>
      </c>
      <c r="V5" s="45" t="s">
        <v>393</v>
      </c>
      <c r="W5" s="45" t="s">
        <v>398</v>
      </c>
      <c r="X5" s="45" t="s">
        <v>393</v>
      </c>
      <c r="Y5" s="45" t="s">
        <v>448</v>
      </c>
      <c r="Z5" s="45" t="s">
        <v>449</v>
      </c>
      <c r="AA5" s="45" t="s">
        <v>450</v>
      </c>
      <c r="AB5" s="45" t="s">
        <v>397</v>
      </c>
      <c r="AC5" s="45" t="s">
        <v>451</v>
      </c>
      <c r="AD5" s="45" t="s">
        <v>397</v>
      </c>
      <c r="AE5" s="45" t="s">
        <v>350</v>
      </c>
      <c r="AF5" s="45" t="s">
        <v>350</v>
      </c>
      <c r="AG5" s="45" t="s">
        <v>188</v>
      </c>
      <c r="AH5" s="45" t="s">
        <v>452</v>
      </c>
      <c r="AI5" s="45" t="s">
        <v>349</v>
      </c>
    </row>
    <row r="6" spans="1:35" ht="25" customHeight="1" x14ac:dyDescent="0.3">
      <c r="A6" s="45" t="s">
        <v>453</v>
      </c>
      <c r="B6" s="45" t="s">
        <v>454</v>
      </c>
      <c r="C6" s="45" t="s">
        <v>455</v>
      </c>
      <c r="D6" s="45" t="s">
        <v>456</v>
      </c>
      <c r="E6" s="42"/>
      <c r="F6" s="42" t="s">
        <v>438</v>
      </c>
      <c r="G6" s="42" t="s">
        <v>439</v>
      </c>
      <c r="H6" s="42" t="s">
        <v>99</v>
      </c>
      <c r="I6" s="45" t="s">
        <v>457</v>
      </c>
      <c r="J6" s="45" t="s">
        <v>236</v>
      </c>
      <c r="K6" s="45" t="s">
        <v>458</v>
      </c>
      <c r="L6" s="45" t="s">
        <v>459</v>
      </c>
      <c r="M6" s="45" t="s">
        <v>460</v>
      </c>
      <c r="N6" s="45" t="s">
        <v>346</v>
      </c>
      <c r="O6" s="45" t="s">
        <v>347</v>
      </c>
      <c r="P6" s="45" t="s">
        <v>99</v>
      </c>
      <c r="Q6" s="45" t="s">
        <v>99</v>
      </c>
      <c r="R6" s="45" t="s">
        <v>445</v>
      </c>
      <c r="S6" s="45" t="s">
        <v>461</v>
      </c>
      <c r="T6" s="45" t="s">
        <v>393</v>
      </c>
      <c r="U6" s="45" t="s">
        <v>462</v>
      </c>
      <c r="V6" s="45" t="s">
        <v>393</v>
      </c>
      <c r="W6" s="45" t="s">
        <v>461</v>
      </c>
      <c r="X6" s="45" t="s">
        <v>393</v>
      </c>
      <c r="Y6" s="45" t="s">
        <v>463</v>
      </c>
      <c r="Z6" s="45" t="s">
        <v>449</v>
      </c>
      <c r="AA6" s="45" t="s">
        <v>450</v>
      </c>
      <c r="AB6" s="45" t="s">
        <v>397</v>
      </c>
      <c r="AC6" s="45" t="s">
        <v>464</v>
      </c>
      <c r="AD6" s="45" t="s">
        <v>397</v>
      </c>
      <c r="AE6" s="45" t="s">
        <v>350</v>
      </c>
      <c r="AF6" s="45" t="s">
        <v>350</v>
      </c>
      <c r="AG6" s="45" t="s">
        <v>350</v>
      </c>
      <c r="AH6" s="45" t="s">
        <v>401</v>
      </c>
      <c r="AI6" s="45" t="s">
        <v>349</v>
      </c>
    </row>
    <row r="7" spans="1:35" ht="25" customHeight="1" x14ac:dyDescent="0.3">
      <c r="A7" s="45" t="s">
        <v>434</v>
      </c>
      <c r="B7" s="45" t="s">
        <v>465</v>
      </c>
      <c r="C7" s="45" t="s">
        <v>436</v>
      </c>
      <c r="D7" s="45" t="s">
        <v>437</v>
      </c>
      <c r="E7" s="42"/>
      <c r="F7" s="42" t="s">
        <v>438</v>
      </c>
      <c r="G7" s="42" t="s">
        <v>439</v>
      </c>
      <c r="H7" s="42" t="s">
        <v>99</v>
      </c>
      <c r="I7" s="45" t="s">
        <v>466</v>
      </c>
      <c r="J7" s="45" t="s">
        <v>441</v>
      </c>
      <c r="K7" s="45" t="s">
        <v>442</v>
      </c>
      <c r="L7" s="45" t="s">
        <v>443</v>
      </c>
      <c r="M7" s="45" t="s">
        <v>444</v>
      </c>
      <c r="N7" s="45" t="s">
        <v>99</v>
      </c>
      <c r="O7" s="45" t="s">
        <v>347</v>
      </c>
      <c r="P7" s="45" t="s">
        <v>99</v>
      </c>
      <c r="Q7" s="45" t="s">
        <v>99</v>
      </c>
      <c r="R7" s="45" t="s">
        <v>445</v>
      </c>
      <c r="S7" s="45" t="s">
        <v>446</v>
      </c>
      <c r="T7" s="45" t="s">
        <v>393</v>
      </c>
      <c r="U7" s="45" t="s">
        <v>447</v>
      </c>
      <c r="V7" s="45" t="s">
        <v>393</v>
      </c>
      <c r="W7" s="45" t="s">
        <v>398</v>
      </c>
      <c r="X7" s="45" t="s">
        <v>393</v>
      </c>
      <c r="Y7" s="45" t="s">
        <v>448</v>
      </c>
      <c r="Z7" s="45" t="s">
        <v>449</v>
      </c>
      <c r="AA7" s="45" t="s">
        <v>450</v>
      </c>
      <c r="AB7" s="45" t="s">
        <v>397</v>
      </c>
      <c r="AC7" s="45" t="s">
        <v>451</v>
      </c>
      <c r="AD7" s="45" t="s">
        <v>397</v>
      </c>
      <c r="AE7" s="45" t="s">
        <v>350</v>
      </c>
      <c r="AF7" s="45" t="s">
        <v>350</v>
      </c>
      <c r="AG7" s="45" t="s">
        <v>188</v>
      </c>
      <c r="AH7" s="45" t="s">
        <v>452</v>
      </c>
      <c r="AI7" s="45" t="s">
        <v>349</v>
      </c>
    </row>
  </sheetData>
  <mergeCells count="2">
    <mergeCell ref="A3:J3"/>
    <mergeCell ref="K3:AI3"/>
  </mergeCell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AE3:AE10001 AF3:AF10001 AG3:AG10001 AH3:AH10001 AI3:AI1000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6"/>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7" width="23.4609375" customWidth="1"/>
  </cols>
  <sheetData>
    <row r="1" spans="1:27" hidden="1" x14ac:dyDescent="0.3">
      <c r="A1" s="42" t="s">
        <v>39</v>
      </c>
      <c r="B1" s="42" t="s">
        <v>40</v>
      </c>
      <c r="C1" s="42" t="s">
        <v>41</v>
      </c>
      <c r="D1" s="42" t="s">
        <v>42</v>
      </c>
      <c r="E1" s="42" t="s">
        <v>43</v>
      </c>
      <c r="F1" s="42" t="s">
        <v>44</v>
      </c>
      <c r="G1" s="42" t="s">
        <v>45</v>
      </c>
      <c r="H1" s="42" t="s">
        <v>46</v>
      </c>
      <c r="I1" s="42" t="s">
        <v>47</v>
      </c>
      <c r="J1" s="42" t="s">
        <v>48</v>
      </c>
      <c r="K1" s="42" t="s">
        <v>467</v>
      </c>
      <c r="L1" s="42" t="s">
        <v>468</v>
      </c>
      <c r="M1" s="42" t="s">
        <v>469</v>
      </c>
      <c r="N1" s="42" t="s">
        <v>51</v>
      </c>
      <c r="O1" s="42" t="s">
        <v>50</v>
      </c>
      <c r="P1" s="42" t="s">
        <v>52</v>
      </c>
      <c r="Q1" s="42" t="s">
        <v>470</v>
      </c>
      <c r="R1" s="42" t="s">
        <v>53</v>
      </c>
      <c r="S1" s="42" t="s">
        <v>471</v>
      </c>
      <c r="T1" s="42" t="s">
        <v>472</v>
      </c>
      <c r="U1" s="42" t="s">
        <v>473</v>
      </c>
      <c r="V1" s="42" t="s">
        <v>474</v>
      </c>
      <c r="W1" s="42" t="s">
        <v>475</v>
      </c>
      <c r="X1" s="42" t="s">
        <v>476</v>
      </c>
      <c r="Y1" s="42" t="s">
        <v>477</v>
      </c>
      <c r="Z1" s="42" t="s">
        <v>478</v>
      </c>
      <c r="AA1" s="42" t="s">
        <v>479</v>
      </c>
    </row>
    <row r="2" spans="1:27"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212</v>
      </c>
      <c r="N2" s="42" t="s">
        <v>66</v>
      </c>
      <c r="O2" s="42" t="s">
        <v>66</v>
      </c>
      <c r="P2" s="42" t="s">
        <v>66</v>
      </c>
      <c r="Q2" s="42" t="s">
        <v>66</v>
      </c>
      <c r="R2" s="42" t="s">
        <v>66</v>
      </c>
      <c r="S2" s="42" t="s">
        <v>66</v>
      </c>
      <c r="T2" s="42" t="s">
        <v>66</v>
      </c>
      <c r="U2" s="42" t="s">
        <v>66</v>
      </c>
      <c r="V2" s="42" t="s">
        <v>66</v>
      </c>
      <c r="W2" s="42" t="s">
        <v>212</v>
      </c>
      <c r="X2" s="42" t="s">
        <v>66</v>
      </c>
      <c r="Y2" s="42" t="s">
        <v>212</v>
      </c>
      <c r="Z2" s="42" t="s">
        <v>66</v>
      </c>
      <c r="AA2" s="42" t="s">
        <v>212</v>
      </c>
    </row>
    <row r="3" spans="1:27" ht="60" customHeight="1" x14ac:dyDescent="0.3">
      <c r="A3" s="103" t="s">
        <v>480</v>
      </c>
      <c r="B3" s="52"/>
      <c r="C3" s="52"/>
      <c r="D3" s="52"/>
      <c r="E3" s="52"/>
      <c r="F3" s="52"/>
      <c r="G3" s="52"/>
      <c r="H3" s="52"/>
      <c r="I3" s="52"/>
      <c r="J3" s="52"/>
      <c r="K3" s="104" t="s">
        <v>68</v>
      </c>
      <c r="L3" s="52"/>
      <c r="M3" s="52"/>
      <c r="N3" s="52"/>
      <c r="O3" s="52"/>
      <c r="P3" s="52"/>
      <c r="Q3" s="52"/>
      <c r="R3" s="52"/>
      <c r="S3" s="52"/>
      <c r="T3" s="52"/>
      <c r="U3" s="52"/>
      <c r="V3" s="52"/>
      <c r="W3" s="52"/>
      <c r="X3" s="52"/>
      <c r="Y3" s="52"/>
      <c r="Z3" s="52"/>
      <c r="AA3" s="52"/>
    </row>
    <row r="4" spans="1:27" ht="25" customHeight="1" x14ac:dyDescent="0.3">
      <c r="A4" s="43" t="s">
        <v>69</v>
      </c>
      <c r="B4" s="43" t="s">
        <v>70</v>
      </c>
      <c r="C4" s="43" t="s">
        <v>71</v>
      </c>
      <c r="D4" s="43" t="s">
        <v>42</v>
      </c>
      <c r="E4" s="43" t="s">
        <v>72</v>
      </c>
      <c r="F4" s="43" t="s">
        <v>73</v>
      </c>
      <c r="G4" s="43" t="s">
        <v>74</v>
      </c>
      <c r="H4" s="43" t="s">
        <v>75</v>
      </c>
      <c r="I4" s="43" t="s">
        <v>76</v>
      </c>
      <c r="J4" s="43" t="s">
        <v>77</v>
      </c>
      <c r="K4" s="44" t="s">
        <v>481</v>
      </c>
      <c r="L4" s="44" t="s">
        <v>482</v>
      </c>
      <c r="M4" s="44" t="s">
        <v>483</v>
      </c>
      <c r="N4" s="44" t="s">
        <v>80</v>
      </c>
      <c r="O4" s="44" t="s">
        <v>79</v>
      </c>
      <c r="P4" s="44" t="s">
        <v>81</v>
      </c>
      <c r="Q4" s="44" t="s">
        <v>484</v>
      </c>
      <c r="R4" s="44" t="s">
        <v>82</v>
      </c>
      <c r="S4" s="44" t="s">
        <v>485</v>
      </c>
      <c r="T4" s="44" t="s">
        <v>486</v>
      </c>
      <c r="U4" s="44" t="s">
        <v>487</v>
      </c>
      <c r="V4" s="44" t="s">
        <v>488</v>
      </c>
      <c r="W4" s="44" t="s">
        <v>489</v>
      </c>
      <c r="X4" s="44" t="s">
        <v>490</v>
      </c>
      <c r="Y4" s="44" t="s">
        <v>491</v>
      </c>
      <c r="Z4" s="44" t="s">
        <v>492</v>
      </c>
      <c r="AA4" s="44" t="s">
        <v>493</v>
      </c>
    </row>
    <row r="5" spans="1:27" ht="25" customHeight="1" x14ac:dyDescent="0.3">
      <c r="A5" s="45" t="s">
        <v>494</v>
      </c>
      <c r="B5" s="45" t="s">
        <v>495</v>
      </c>
      <c r="C5" s="45" t="s">
        <v>496</v>
      </c>
      <c r="D5" s="45" t="s">
        <v>497</v>
      </c>
      <c r="E5" s="42"/>
      <c r="F5" s="42" t="s">
        <v>498</v>
      </c>
      <c r="G5" s="42" t="s">
        <v>499</v>
      </c>
      <c r="H5" s="42" t="s">
        <v>99</v>
      </c>
      <c r="I5" s="45" t="s">
        <v>500</v>
      </c>
      <c r="J5" s="45" t="s">
        <v>236</v>
      </c>
      <c r="K5" s="47" t="s">
        <v>99</v>
      </c>
      <c r="L5" s="46"/>
      <c r="M5" s="46" t="s">
        <v>99</v>
      </c>
      <c r="N5" s="46" t="s">
        <v>387</v>
      </c>
      <c r="O5" s="46" t="s">
        <v>236</v>
      </c>
      <c r="P5" s="46" t="s">
        <v>501</v>
      </c>
      <c r="Q5" s="47" t="s">
        <v>502</v>
      </c>
      <c r="R5" s="47" t="s">
        <v>503</v>
      </c>
      <c r="S5" s="46" t="s">
        <v>188</v>
      </c>
      <c r="T5" s="46" t="s">
        <v>350</v>
      </c>
      <c r="U5" s="47" t="s">
        <v>504</v>
      </c>
      <c r="V5" s="46">
        <v>48</v>
      </c>
      <c r="W5" s="46" t="s">
        <v>393</v>
      </c>
      <c r="X5" s="46">
        <v>10</v>
      </c>
      <c r="Y5" s="46" t="s">
        <v>393</v>
      </c>
      <c r="Z5" s="46">
        <v>30</v>
      </c>
      <c r="AA5" s="46" t="s">
        <v>393</v>
      </c>
    </row>
    <row r="6" spans="1:27" ht="25" customHeight="1" x14ac:dyDescent="0.3">
      <c r="A6" s="45" t="s">
        <v>494</v>
      </c>
      <c r="B6" s="45" t="s">
        <v>508</v>
      </c>
      <c r="C6" s="45" t="s">
        <v>496</v>
      </c>
      <c r="D6" s="45" t="s">
        <v>497</v>
      </c>
      <c r="E6" s="42"/>
      <c r="F6" s="42" t="s">
        <v>498</v>
      </c>
      <c r="G6" s="42" t="s">
        <v>499</v>
      </c>
      <c r="H6" s="42" t="s">
        <v>99</v>
      </c>
      <c r="I6" s="45" t="s">
        <v>509</v>
      </c>
      <c r="J6" s="45" t="s">
        <v>236</v>
      </c>
      <c r="K6" s="45" t="s">
        <v>510</v>
      </c>
      <c r="L6" s="45" t="s">
        <v>411</v>
      </c>
      <c r="M6" s="45" t="s">
        <v>511</v>
      </c>
      <c r="N6" s="45" t="s">
        <v>387</v>
      </c>
      <c r="O6" s="45" t="s">
        <v>236</v>
      </c>
      <c r="P6" s="45" t="s">
        <v>501</v>
      </c>
      <c r="Q6" s="45" t="s">
        <v>502</v>
      </c>
      <c r="R6" s="45" t="s">
        <v>503</v>
      </c>
      <c r="S6" s="45" t="s">
        <v>188</v>
      </c>
      <c r="T6" s="45" t="s">
        <v>350</v>
      </c>
      <c r="U6" s="45" t="s">
        <v>504</v>
      </c>
      <c r="V6" s="45" t="s">
        <v>512</v>
      </c>
      <c r="W6" s="45" t="s">
        <v>393</v>
      </c>
      <c r="X6" s="45" t="s">
        <v>412</v>
      </c>
      <c r="Y6" s="45" t="s">
        <v>393</v>
      </c>
      <c r="Z6" s="45" t="s">
        <v>513</v>
      </c>
      <c r="AA6" s="45" t="s">
        <v>393</v>
      </c>
    </row>
  </sheetData>
  <mergeCells count="2">
    <mergeCell ref="A3:J3"/>
    <mergeCell ref="K3:AA3"/>
  </mergeCells>
  <conditionalFormatting sqref="M5:M6">
    <cfRule type="cellIs" dxfId="71" priority="1" operator="equal">
      <formula>""</formula>
    </cfRule>
  </conditionalFormatting>
  <conditionalFormatting sqref="N5">
    <cfRule type="cellIs" priority="2" operator="equal">
      <formula>"null"</formula>
    </cfRule>
  </conditionalFormatting>
  <conditionalFormatting sqref="O5:O6">
    <cfRule type="cellIs" dxfId="70" priority="3" operator="equal">
      <formula>"Preto"</formula>
    </cfRule>
  </conditionalFormatting>
  <conditionalFormatting sqref="P5:P6">
    <cfRule type="cellIs" dxfId="69" priority="4" operator="equal">
      <formula>"Bak"</formula>
    </cfRule>
  </conditionalFormatting>
  <conditionalFormatting sqref="S5:S6">
    <cfRule type="cellIs" dxfId="68" priority="5" operator="equal">
      <formula>"Não"</formula>
    </cfRule>
  </conditionalFormatting>
  <conditionalFormatting sqref="T5:T6">
    <cfRule type="cellIs" dxfId="67" priority="6" operator="equal">
      <formula>"Sim"</formula>
    </cfRule>
  </conditionalFormatting>
  <dataValidations count="5">
    <dataValidation type="list" allowBlank="1" showInputMessage="1" sqref="M5:M6" xr:uid="{00000000-0002-0000-0600-000000000000}">
      <formula1>"W,kW"</formula1>
    </dataValidation>
    <dataValidation type="list" allowBlank="1" showInputMessage="1" sqref="N5" xr:uid="{00000000-0002-0000-0600-000001000000}">
      <formula1>"Digite o código"</formula1>
    </dataValidation>
    <dataValidation type="list" allowBlank="1" showInputMessage="1" sqref="O5:O6" xr:uid="{00000000-0002-0000-0600-000002000000}">
      <formula1>"Preto,Azul,Vermelho,Violeta,Marrom,Verde,Laranja,Azul celeste,Rosa,Dourado,Prateado,Amarelo,Cinza,Branco,Multicolorido,Bege"</formula1>
    </dataValidation>
    <dataValidation type="list" allowBlank="1" showInputMessage="1" sqref="P5:P6" xr:uid="{00000000-0002-0000-0600-000003000000}">
      <formula1>"Arno,Black+Decker,Breville,Britânia,Cadence,Char-Broil,Electrolux,Elite,Facusa,Fischer,George Foreman,Grillcorp,Mallory,Mondial,Mr. Beef,Mágico,NKS,Oster,Philco,Philips,SteamMax,Suzuki,Tramontina,Tromen"</formula1>
    </dataValidation>
    <dataValidation type="list" allowBlank="1" showInputMessage="1" sqref="S5:T6" xr:uid="{00000000-0002-0000-0600-000004000000}">
      <formula1>"Não,Sim"</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numberStoredAsText="1"/>
  </ignoredErrors>
  <extLst>
    <ext xmlns:x14="http://schemas.microsoft.com/office/spreadsheetml/2009/9/main" uri="{CCE6A557-97BC-4b89-ADB6-D9C93CAAB3DF}">
      <x14:dataValidations xmlns:xm="http://schemas.microsoft.com/office/excel/2006/main" count="3">
        <x14:dataValidation type="list" allowBlank="1" showInputMessage="1" xr:uid="{00000000-0002-0000-0600-000006000000}">
          <x14:formula1>
            <xm:f>hidden!$A$5:$D$5</xm:f>
          </x14:formula1>
          <xm:sqref>W5:W6</xm:sqref>
        </x14:dataValidation>
        <x14:dataValidation type="list" allowBlank="1" showInputMessage="1" xr:uid="{00000000-0002-0000-0600-000007000000}">
          <x14:formula1>
            <xm:f>hidden!$A$6:$D$6</xm:f>
          </x14:formula1>
          <xm:sqref>Y5:Y6</xm:sqref>
        </x14:dataValidation>
        <x14:dataValidation type="list" allowBlank="1" showInputMessage="1" xr:uid="{00000000-0002-0000-0600-000008000000}">
          <x14:formula1>
            <xm:f>hidden!$A$7:$D$7</xm:f>
          </x14:formula1>
          <xm:sqref>AA5:AA6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H8"/>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4" width="23.4609375" customWidth="1"/>
  </cols>
  <sheetData>
    <row r="1" spans="1:34" hidden="1" x14ac:dyDescent="0.3">
      <c r="A1" s="42" t="s">
        <v>39</v>
      </c>
      <c r="B1" s="42" t="s">
        <v>40</v>
      </c>
      <c r="C1" s="42" t="s">
        <v>41</v>
      </c>
      <c r="D1" s="42" t="s">
        <v>42</v>
      </c>
      <c r="E1" s="42" t="s">
        <v>43</v>
      </c>
      <c r="F1" s="42" t="s">
        <v>44</v>
      </c>
      <c r="G1" s="42" t="s">
        <v>45</v>
      </c>
      <c r="H1" s="42" t="s">
        <v>46</v>
      </c>
      <c r="I1" s="42" t="s">
        <v>47</v>
      </c>
      <c r="J1" s="42" t="s">
        <v>51</v>
      </c>
      <c r="K1" s="42" t="s">
        <v>52</v>
      </c>
      <c r="L1" s="42" t="s">
        <v>470</v>
      </c>
      <c r="M1" s="42" t="s">
        <v>53</v>
      </c>
      <c r="N1" s="42" t="s">
        <v>514</v>
      </c>
      <c r="O1" s="42" t="s">
        <v>515</v>
      </c>
      <c r="P1" s="42" t="s">
        <v>205</v>
      </c>
      <c r="Q1" s="42" t="s">
        <v>415</v>
      </c>
      <c r="R1" s="42" t="s">
        <v>416</v>
      </c>
      <c r="S1" s="42" t="s">
        <v>516</v>
      </c>
      <c r="T1" s="42" t="s">
        <v>517</v>
      </c>
      <c r="U1" s="42" t="s">
        <v>355</v>
      </c>
      <c r="V1" s="42" t="s">
        <v>356</v>
      </c>
      <c r="W1" s="42" t="s">
        <v>417</v>
      </c>
      <c r="X1" s="42" t="s">
        <v>418</v>
      </c>
      <c r="Y1" s="42" t="s">
        <v>518</v>
      </c>
      <c r="Z1" s="42" t="s">
        <v>519</v>
      </c>
      <c r="AA1" s="42" t="s">
        <v>520</v>
      </c>
      <c r="AB1" s="42" t="s">
        <v>521</v>
      </c>
      <c r="AC1" s="42" t="s">
        <v>522</v>
      </c>
      <c r="AD1" s="42" t="s">
        <v>523</v>
      </c>
      <c r="AE1" s="42" t="s">
        <v>524</v>
      </c>
      <c r="AF1" s="42" t="s">
        <v>525</v>
      </c>
      <c r="AG1" s="42" t="s">
        <v>526</v>
      </c>
      <c r="AH1" s="42" t="s">
        <v>527</v>
      </c>
    </row>
    <row r="2" spans="1:34" hidden="1" x14ac:dyDescent="0.3">
      <c r="A2" s="42" t="s">
        <v>64</v>
      </c>
      <c r="B2" s="42" t="s">
        <v>64</v>
      </c>
      <c r="C2" s="42" t="s">
        <v>64</v>
      </c>
      <c r="D2" s="42" t="s">
        <v>64</v>
      </c>
      <c r="E2" s="42" t="s">
        <v>64</v>
      </c>
      <c r="F2" s="42" t="s">
        <v>64</v>
      </c>
      <c r="G2" s="42" t="s">
        <v>64</v>
      </c>
      <c r="H2" s="42" t="s">
        <v>64</v>
      </c>
      <c r="I2" s="42" t="s">
        <v>64</v>
      </c>
      <c r="J2" s="42" t="s">
        <v>66</v>
      </c>
      <c r="K2" s="42" t="s">
        <v>66</v>
      </c>
      <c r="L2" s="42" t="s">
        <v>66</v>
      </c>
      <c r="M2" s="42" t="s">
        <v>66</v>
      </c>
      <c r="N2" s="42" t="s">
        <v>66</v>
      </c>
      <c r="O2" s="42" t="s">
        <v>66</v>
      </c>
      <c r="P2" s="42" t="s">
        <v>66</v>
      </c>
      <c r="Q2" s="42" t="s">
        <v>66</v>
      </c>
      <c r="R2" s="42" t="s">
        <v>212</v>
      </c>
      <c r="S2" s="42" t="s">
        <v>66</v>
      </c>
      <c r="T2" s="42" t="s">
        <v>212</v>
      </c>
      <c r="U2" s="42" t="s">
        <v>66</v>
      </c>
      <c r="V2" s="42" t="s">
        <v>212</v>
      </c>
      <c r="W2" s="42" t="s">
        <v>66</v>
      </c>
      <c r="X2" s="42" t="s">
        <v>212</v>
      </c>
      <c r="Y2" s="42" t="s">
        <v>66</v>
      </c>
      <c r="Z2" s="42" t="s">
        <v>212</v>
      </c>
      <c r="AA2" s="42" t="s">
        <v>66</v>
      </c>
      <c r="AB2" s="42" t="s">
        <v>66</v>
      </c>
      <c r="AC2" s="42" t="s">
        <v>66</v>
      </c>
      <c r="AD2" s="42" t="s">
        <v>66</v>
      </c>
      <c r="AE2" s="42" t="s">
        <v>66</v>
      </c>
      <c r="AF2" s="42" t="s">
        <v>66</v>
      </c>
      <c r="AG2" s="42" t="s">
        <v>66</v>
      </c>
      <c r="AH2" s="42" t="s">
        <v>66</v>
      </c>
    </row>
    <row r="3" spans="1:34" ht="60" customHeight="1" x14ac:dyDescent="0.3">
      <c r="A3" s="103" t="s">
        <v>528</v>
      </c>
      <c r="B3" s="52"/>
      <c r="C3" s="52"/>
      <c r="D3" s="52"/>
      <c r="E3" s="52"/>
      <c r="F3" s="52"/>
      <c r="G3" s="52"/>
      <c r="H3" s="52"/>
      <c r="I3" s="52"/>
      <c r="J3" s="104" t="s">
        <v>68</v>
      </c>
      <c r="K3" s="52"/>
      <c r="L3" s="52"/>
      <c r="M3" s="52"/>
      <c r="N3" s="52"/>
      <c r="O3" s="52"/>
      <c r="P3" s="52"/>
      <c r="Q3" s="52"/>
      <c r="R3" s="52"/>
      <c r="S3" s="52"/>
      <c r="T3" s="52"/>
      <c r="U3" s="52"/>
      <c r="V3" s="52"/>
      <c r="W3" s="52"/>
      <c r="X3" s="52"/>
      <c r="Y3" s="52"/>
      <c r="Z3" s="52"/>
      <c r="AA3" s="52"/>
      <c r="AB3" s="52"/>
      <c r="AC3" s="52"/>
      <c r="AD3" s="52"/>
      <c r="AE3" s="52"/>
      <c r="AF3" s="52"/>
      <c r="AG3" s="52"/>
      <c r="AH3" s="52"/>
    </row>
    <row r="4" spans="1:34" ht="25" customHeight="1" x14ac:dyDescent="0.3">
      <c r="A4" s="43" t="s">
        <v>69</v>
      </c>
      <c r="B4" s="43" t="s">
        <v>70</v>
      </c>
      <c r="C4" s="43" t="s">
        <v>71</v>
      </c>
      <c r="D4" s="43" t="s">
        <v>42</v>
      </c>
      <c r="E4" s="43" t="s">
        <v>72</v>
      </c>
      <c r="F4" s="43" t="s">
        <v>73</v>
      </c>
      <c r="G4" s="43" t="s">
        <v>74</v>
      </c>
      <c r="H4" s="43" t="s">
        <v>75</v>
      </c>
      <c r="I4" s="43" t="s">
        <v>76</v>
      </c>
      <c r="J4" s="44" t="s">
        <v>80</v>
      </c>
      <c r="K4" s="44" t="s">
        <v>81</v>
      </c>
      <c r="L4" s="44" t="s">
        <v>484</v>
      </c>
      <c r="M4" s="44" t="s">
        <v>82</v>
      </c>
      <c r="N4" s="44" t="s">
        <v>529</v>
      </c>
      <c r="O4" s="44" t="s">
        <v>530</v>
      </c>
      <c r="P4" s="44" t="s">
        <v>221</v>
      </c>
      <c r="Q4" s="44" t="s">
        <v>426</v>
      </c>
      <c r="R4" s="44" t="s">
        <v>427</v>
      </c>
      <c r="S4" s="44" t="s">
        <v>531</v>
      </c>
      <c r="T4" s="44" t="s">
        <v>532</v>
      </c>
      <c r="U4" s="44" t="s">
        <v>370</v>
      </c>
      <c r="V4" s="44" t="s">
        <v>371</v>
      </c>
      <c r="W4" s="44" t="s">
        <v>428</v>
      </c>
      <c r="X4" s="44" t="s">
        <v>429</v>
      </c>
      <c r="Y4" s="44" t="s">
        <v>533</v>
      </c>
      <c r="Z4" s="44" t="s">
        <v>534</v>
      </c>
      <c r="AA4" s="44" t="s">
        <v>535</v>
      </c>
      <c r="AB4" s="44" t="s">
        <v>536</v>
      </c>
      <c r="AC4" s="44" t="s">
        <v>537</v>
      </c>
      <c r="AD4" s="44" t="s">
        <v>538</v>
      </c>
      <c r="AE4" s="44" t="s">
        <v>539</v>
      </c>
      <c r="AF4" s="44" t="s">
        <v>540</v>
      </c>
      <c r="AG4" s="44" t="s">
        <v>541</v>
      </c>
      <c r="AH4" s="44" t="s">
        <v>542</v>
      </c>
    </row>
    <row r="5" spans="1:34" ht="25" customHeight="1" x14ac:dyDescent="0.3">
      <c r="A5" s="45" t="s">
        <v>543</v>
      </c>
      <c r="B5" s="45" t="s">
        <v>544</v>
      </c>
      <c r="C5" s="45" t="s">
        <v>545</v>
      </c>
      <c r="D5" s="45" t="s">
        <v>546</v>
      </c>
      <c r="E5" s="42"/>
      <c r="F5" s="42" t="s">
        <v>547</v>
      </c>
      <c r="G5" s="42" t="s">
        <v>548</v>
      </c>
      <c r="H5" s="42" t="s">
        <v>99</v>
      </c>
      <c r="I5" s="45" t="s">
        <v>549</v>
      </c>
      <c r="J5" s="46" t="s">
        <v>387</v>
      </c>
      <c r="K5" s="46" t="s">
        <v>550</v>
      </c>
      <c r="L5" s="47" t="s">
        <v>551</v>
      </c>
      <c r="M5" s="47" t="s">
        <v>552</v>
      </c>
      <c r="N5" s="46" t="s">
        <v>553</v>
      </c>
      <c r="O5" s="47" t="s">
        <v>554</v>
      </c>
      <c r="P5" s="47" t="s">
        <v>99</v>
      </c>
      <c r="Q5" s="46">
        <v>63</v>
      </c>
      <c r="R5" s="46" t="s">
        <v>393</v>
      </c>
      <c r="S5" s="46">
        <v>16</v>
      </c>
      <c r="T5" s="46" t="s">
        <v>393</v>
      </c>
      <c r="U5" s="46">
        <v>45</v>
      </c>
      <c r="V5" s="46" t="s">
        <v>393</v>
      </c>
      <c r="W5" s="46">
        <v>1</v>
      </c>
      <c r="X5" s="46" t="s">
        <v>396</v>
      </c>
      <c r="Y5" s="46">
        <v>30</v>
      </c>
      <c r="Z5" s="46" t="s">
        <v>556</v>
      </c>
      <c r="AA5" s="46" t="s">
        <v>557</v>
      </c>
      <c r="AB5" s="46" t="s">
        <v>573</v>
      </c>
      <c r="AC5" s="46" t="s">
        <v>445</v>
      </c>
      <c r="AD5" s="47" t="s">
        <v>450</v>
      </c>
      <c r="AE5" s="46" t="s">
        <v>188</v>
      </c>
      <c r="AF5" s="46" t="s">
        <v>188</v>
      </c>
      <c r="AG5" s="46" t="s">
        <v>350</v>
      </c>
      <c r="AH5" s="46" t="s">
        <v>188</v>
      </c>
    </row>
    <row r="6" spans="1:34" ht="25" customHeight="1" x14ac:dyDescent="0.3">
      <c r="A6" s="45" t="s">
        <v>543</v>
      </c>
      <c r="B6" s="45" t="s">
        <v>574</v>
      </c>
      <c r="C6" s="45" t="s">
        <v>575</v>
      </c>
      <c r="D6" s="45" t="s">
        <v>576</v>
      </c>
      <c r="E6" s="42"/>
      <c r="F6" s="42" t="s">
        <v>547</v>
      </c>
      <c r="G6" s="42" t="s">
        <v>548</v>
      </c>
      <c r="H6" s="42" t="s">
        <v>99</v>
      </c>
      <c r="I6" s="45" t="s">
        <v>549</v>
      </c>
      <c r="J6" s="46" t="s">
        <v>387</v>
      </c>
      <c r="K6" s="46" t="s">
        <v>550</v>
      </c>
      <c r="L6" s="47" t="s">
        <v>551</v>
      </c>
      <c r="M6" s="47" t="s">
        <v>552</v>
      </c>
      <c r="N6" s="46" t="s">
        <v>553</v>
      </c>
      <c r="O6" s="47" t="s">
        <v>554</v>
      </c>
      <c r="P6" s="47" t="s">
        <v>99</v>
      </c>
      <c r="Q6" s="46">
        <v>63</v>
      </c>
      <c r="R6" s="46" t="s">
        <v>393</v>
      </c>
      <c r="S6" s="46">
        <v>16</v>
      </c>
      <c r="T6" s="46" t="s">
        <v>393</v>
      </c>
      <c r="U6" s="46">
        <v>45</v>
      </c>
      <c r="V6" s="46" t="s">
        <v>393</v>
      </c>
      <c r="W6" s="46">
        <v>1</v>
      </c>
      <c r="X6" s="46" t="s">
        <v>396</v>
      </c>
      <c r="Y6" s="46">
        <v>30</v>
      </c>
      <c r="Z6" s="46" t="s">
        <v>556</v>
      </c>
      <c r="AA6" s="46" t="s">
        <v>557</v>
      </c>
      <c r="AB6" s="46" t="s">
        <v>573</v>
      </c>
      <c r="AC6" s="46" t="s">
        <v>445</v>
      </c>
      <c r="AD6" s="47" t="s">
        <v>450</v>
      </c>
      <c r="AE6" s="46" t="s">
        <v>188</v>
      </c>
      <c r="AF6" s="46" t="s">
        <v>188</v>
      </c>
      <c r="AG6" s="46" t="s">
        <v>350</v>
      </c>
      <c r="AH6" s="46" t="s">
        <v>188</v>
      </c>
    </row>
    <row r="7" spans="1:34" ht="25" customHeight="1" x14ac:dyDescent="0.3">
      <c r="A7" s="45" t="s">
        <v>577</v>
      </c>
      <c r="B7" s="45" t="s">
        <v>578</v>
      </c>
      <c r="C7" s="45" t="s">
        <v>579</v>
      </c>
      <c r="D7" s="45" t="s">
        <v>580</v>
      </c>
      <c r="E7" s="42"/>
      <c r="F7" s="42" t="s">
        <v>547</v>
      </c>
      <c r="G7" s="42" t="s">
        <v>548</v>
      </c>
      <c r="H7" s="42" t="s">
        <v>99</v>
      </c>
      <c r="I7" s="45" t="s">
        <v>581</v>
      </c>
      <c r="J7" s="45" t="s">
        <v>387</v>
      </c>
      <c r="K7" s="45" t="s">
        <v>501</v>
      </c>
      <c r="L7" s="45" t="s">
        <v>582</v>
      </c>
      <c r="M7" s="45" t="s">
        <v>583</v>
      </c>
      <c r="N7" s="45" t="s">
        <v>584</v>
      </c>
      <c r="O7" s="45" t="s">
        <v>501</v>
      </c>
      <c r="P7" s="45" t="s">
        <v>99</v>
      </c>
      <c r="Q7" s="45"/>
      <c r="R7" s="45" t="s">
        <v>99</v>
      </c>
      <c r="S7" s="45"/>
      <c r="T7" s="45" t="s">
        <v>99</v>
      </c>
      <c r="U7" s="45" t="s">
        <v>585</v>
      </c>
      <c r="V7" s="45" t="s">
        <v>393</v>
      </c>
      <c r="W7" s="45" t="s">
        <v>586</v>
      </c>
      <c r="X7" s="45" t="s">
        <v>396</v>
      </c>
      <c r="Y7" s="45" t="s">
        <v>412</v>
      </c>
      <c r="Z7" s="45" t="s">
        <v>556</v>
      </c>
      <c r="AA7" s="45" t="s">
        <v>587</v>
      </c>
      <c r="AB7" s="45" t="s">
        <v>573</v>
      </c>
      <c r="AC7" s="45" t="s">
        <v>588</v>
      </c>
      <c r="AD7" s="45" t="s">
        <v>589</v>
      </c>
      <c r="AE7" s="45" t="s">
        <v>350</v>
      </c>
      <c r="AF7" s="45" t="s">
        <v>350</v>
      </c>
      <c r="AG7" s="45" t="s">
        <v>350</v>
      </c>
      <c r="AH7" s="45" t="s">
        <v>350</v>
      </c>
    </row>
    <row r="8" spans="1:34" ht="25" customHeight="1" x14ac:dyDescent="0.3">
      <c r="A8" s="45" t="s">
        <v>577</v>
      </c>
      <c r="B8" s="45" t="s">
        <v>590</v>
      </c>
      <c r="C8" s="45" t="s">
        <v>579</v>
      </c>
      <c r="D8" s="45" t="s">
        <v>580</v>
      </c>
      <c r="E8" s="42"/>
      <c r="F8" s="42" t="s">
        <v>547</v>
      </c>
      <c r="G8" s="42" t="s">
        <v>548</v>
      </c>
      <c r="H8" s="42" t="s">
        <v>99</v>
      </c>
      <c r="I8" s="45" t="s">
        <v>591</v>
      </c>
      <c r="J8" s="46" t="s">
        <v>387</v>
      </c>
      <c r="K8" s="46" t="s">
        <v>501</v>
      </c>
      <c r="L8" s="47" t="s">
        <v>582</v>
      </c>
      <c r="M8" s="47" t="s">
        <v>583</v>
      </c>
      <c r="N8" s="46" t="s">
        <v>584</v>
      </c>
      <c r="O8" s="47" t="s">
        <v>501</v>
      </c>
      <c r="P8" s="47" t="s">
        <v>99</v>
      </c>
      <c r="Q8" s="46"/>
      <c r="R8" s="46" t="s">
        <v>99</v>
      </c>
      <c r="S8" s="46"/>
      <c r="T8" s="46" t="s">
        <v>99</v>
      </c>
      <c r="U8" s="46">
        <v>45.72</v>
      </c>
      <c r="V8" s="46" t="s">
        <v>393</v>
      </c>
      <c r="W8" s="46">
        <v>5.5</v>
      </c>
      <c r="X8" s="46" t="s">
        <v>396</v>
      </c>
      <c r="Y8" s="46">
        <v>10</v>
      </c>
      <c r="Z8" s="46" t="s">
        <v>556</v>
      </c>
      <c r="AA8" s="46" t="s">
        <v>587</v>
      </c>
      <c r="AB8" s="46" t="s">
        <v>573</v>
      </c>
      <c r="AC8" s="46" t="s">
        <v>588</v>
      </c>
      <c r="AD8" s="47" t="s">
        <v>589</v>
      </c>
      <c r="AE8" s="46" t="s">
        <v>350</v>
      </c>
      <c r="AF8" s="46" t="s">
        <v>350</v>
      </c>
      <c r="AG8" s="46" t="s">
        <v>350</v>
      </c>
      <c r="AH8" s="46" t="s">
        <v>350</v>
      </c>
    </row>
  </sheetData>
  <mergeCells count="2">
    <mergeCell ref="A3:I3"/>
    <mergeCell ref="J3:AH3"/>
  </mergeCells>
  <conditionalFormatting sqref="J5:J6">
    <cfRule type="cellIs" priority="1" operator="equal">
      <formula>"null"</formula>
    </cfRule>
  </conditionalFormatting>
  <conditionalFormatting sqref="J8">
    <cfRule type="cellIs" priority="14" operator="equal">
      <formula>"null"</formula>
    </cfRule>
  </conditionalFormatting>
  <conditionalFormatting sqref="K5:K8">
    <cfRule type="cellIs" dxfId="66" priority="2" operator="equal">
      <formula>"ventilador barato, ventilador silencio, ventiladorpe, ventilador elgin, ventilador mesa, ventilador potente, ventilador"</formula>
    </cfRule>
  </conditionalFormatting>
  <conditionalFormatting sqref="N5:N8">
    <cfRule type="cellIs" dxfId="65" priority="3" operator="equal">
      <formula>"Mesa e Chão"</formula>
    </cfRule>
  </conditionalFormatting>
  <conditionalFormatting sqref="X5:X8">
    <cfRule type="cellIs" dxfId="64" priority="4" operator="equal">
      <formula>"kg"</formula>
    </cfRule>
  </conditionalFormatting>
  <conditionalFormatting sqref="Z5:Z8">
    <cfRule type="cellIs" dxfId="63" priority="5" operator="equal">
      <formula>"dB"</formula>
    </cfRule>
  </conditionalFormatting>
  <conditionalFormatting sqref="AA5:AA8">
    <cfRule type="cellIs" dxfId="62" priority="6" operator="equal">
      <formula>"energia"</formula>
    </cfRule>
  </conditionalFormatting>
  <conditionalFormatting sqref="AB5:AB8">
    <cfRule type="cellIs" dxfId="61" priority="7" operator="equal">
      <formula>"A"</formula>
    </cfRule>
  </conditionalFormatting>
  <conditionalFormatting sqref="AC5:AC8">
    <cfRule type="cellIs" dxfId="60" priority="8" operator="equal">
      <formula>"Plástico"</formula>
    </cfRule>
  </conditionalFormatting>
  <conditionalFormatting sqref="AE5:AF8">
    <cfRule type="cellIs" dxfId="59" priority="9" operator="equal">
      <formula>"Não"</formula>
    </cfRule>
  </conditionalFormatting>
  <conditionalFormatting sqref="AG5:AG8">
    <cfRule type="cellIs" dxfId="58" priority="11" operator="equal">
      <formula>"Sim"</formula>
    </cfRule>
  </conditionalFormatting>
  <conditionalFormatting sqref="AH5:AH8">
    <cfRule type="cellIs" dxfId="57" priority="12" operator="equal">
      <formula>"Não"</formula>
    </cfRule>
  </conditionalFormatting>
  <dataValidations count="8">
    <dataValidation type="list" allowBlank="1" showInputMessage="1" sqref="J8 J5:J6" xr:uid="{00000000-0002-0000-0700-000000000000}">
      <formula1>"Digite o código"</formula1>
    </dataValidation>
    <dataValidation type="list" allowBlank="1" showInputMessage="1" sqref="K5:K8" xr:uid="{00000000-0002-0000-0700-000001000000}">
      <formula1>"Consul,Durabrand,Esmaltec,Fame,GE,Imperio,Kenwood,Luft,Marbela,Siam,Sitec,Springer,Techna,Telefunken,Tron Greco,Tufão,Ventax,Yelmo"</formula1>
    </dataValidation>
    <dataValidation type="list" allowBlank="1" showInputMessage="1" sqref="N5:N8" xr:uid="{00000000-0002-0000-0700-000002000000}">
      <formula1>"De torre,De pé,De parede,De mesa,De teto,De janela,De piso,2 em 1,3 em 1"</formula1>
    </dataValidation>
    <dataValidation type="list" allowBlank="1" showInputMessage="1" sqref="X5:X8" xr:uid="{00000000-0002-0000-0700-000006000000}">
      <formula1>"g,kg,lb,mg,oz"</formula1>
    </dataValidation>
    <dataValidation type="list" allowBlank="1" showInputMessage="1" sqref="Z5:Z8" xr:uid="{00000000-0002-0000-0700-000007000000}">
      <formula1>"dB"</formula1>
    </dataValidation>
    <dataValidation type="list" allowBlank="1" showInputMessage="1" sqref="AB5:AB8" xr:uid="{00000000-0002-0000-0700-000009000000}">
      <formula1>"A,B,C,D,E,F,G"</formula1>
    </dataValidation>
    <dataValidation type="list" allowBlank="1" showInputMessage="1" sqref="AC5:AC8" xr:uid="{00000000-0002-0000-0700-00000A000000}">
      <formula1>"Metal,Plástico"</formula1>
    </dataValidation>
    <dataValidation type="list" allowBlank="1" showInputMessage="1" sqref="AE5:AH8" xr:uid="{00000000-0002-0000-0700-00000B000000}">
      <formula1>"Não,Sim"</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AE3:AE10001 AF3:AF10001 AG3:AG10001 AH3:AH10001" numberStoredAsText="1"/>
  </ignoredErrors>
  <extLst>
    <ext xmlns:x14="http://schemas.microsoft.com/office/spreadsheetml/2009/9/main" uri="{CCE6A557-97BC-4b89-ADB6-D9C93CAAB3DF}">
      <x14:dataValidations xmlns:xm="http://schemas.microsoft.com/office/excel/2006/main" count="4">
        <x14:dataValidation type="list" allowBlank="1" showInputMessage="1" xr:uid="{00000000-0002-0000-0700-000003000000}">
          <x14:formula1>
            <xm:f>hidden!$A$8:$E$8</xm:f>
          </x14:formula1>
          <xm:sqref>R5:R8</xm:sqref>
        </x14:dataValidation>
        <x14:dataValidation type="list" allowBlank="1" showInputMessage="1" xr:uid="{00000000-0002-0000-0700-000004000000}">
          <x14:formula1>
            <xm:f>hidden!$A$9:$E$9</xm:f>
          </x14:formula1>
          <xm:sqref>T5:T8</xm:sqref>
        </x14:dataValidation>
        <x14:dataValidation type="list" allowBlank="1" showInputMessage="1" xr:uid="{00000000-0002-0000-0700-000005000000}">
          <x14:formula1>
            <xm:f>hidden!$A$10:$E$10</xm:f>
          </x14:formula1>
          <xm:sqref>V5:V8</xm:sqref>
        </x14:dataValidation>
        <x14:dataValidation type="list" allowBlank="1" showInputMessage="1" xr:uid="{00000000-0002-0000-0700-000008000000}">
          <x14:formula1>
            <xm:f>hidden!$A$11:$P$11</xm:f>
          </x14:formula1>
          <xm:sqref>AA5:AA8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9" width="23.4609375" customWidth="1"/>
  </cols>
  <sheetData>
    <row r="1" spans="1:39" hidden="1" x14ac:dyDescent="0.3">
      <c r="A1" s="42" t="s">
        <v>39</v>
      </c>
      <c r="B1" s="42" t="s">
        <v>40</v>
      </c>
      <c r="C1" s="42" t="s">
        <v>41</v>
      </c>
      <c r="D1" s="42" t="s">
        <v>42</v>
      </c>
      <c r="E1" s="42" t="s">
        <v>43</v>
      </c>
      <c r="F1" s="42" t="s">
        <v>44</v>
      </c>
      <c r="G1" s="42" t="s">
        <v>45</v>
      </c>
      <c r="H1" s="42" t="s">
        <v>46</v>
      </c>
      <c r="I1" s="42" t="s">
        <v>47</v>
      </c>
      <c r="J1" s="42" t="s">
        <v>51</v>
      </c>
      <c r="K1" s="42" t="s">
        <v>52</v>
      </c>
      <c r="L1" s="42" t="s">
        <v>53</v>
      </c>
      <c r="M1" s="42" t="s">
        <v>592</v>
      </c>
      <c r="N1" s="42" t="s">
        <v>593</v>
      </c>
      <c r="O1" s="42" t="s">
        <v>520</v>
      </c>
      <c r="P1" s="42" t="s">
        <v>594</v>
      </c>
      <c r="Q1" s="42" t="s">
        <v>595</v>
      </c>
      <c r="R1" s="42" t="s">
        <v>596</v>
      </c>
      <c r="S1" s="42" t="s">
        <v>597</v>
      </c>
      <c r="T1" s="42" t="s">
        <v>598</v>
      </c>
      <c r="U1" s="42" t="s">
        <v>599</v>
      </c>
      <c r="V1" s="42" t="s">
        <v>600</v>
      </c>
      <c r="W1" s="42" t="s">
        <v>601</v>
      </c>
      <c r="X1" s="42" t="s">
        <v>353</v>
      </c>
      <c r="Y1" s="42" t="s">
        <v>354</v>
      </c>
      <c r="Z1" s="42" t="s">
        <v>362</v>
      </c>
      <c r="AA1" s="42" t="s">
        <v>363</v>
      </c>
      <c r="AB1" s="42" t="s">
        <v>417</v>
      </c>
      <c r="AC1" s="42" t="s">
        <v>418</v>
      </c>
      <c r="AD1" s="42" t="s">
        <v>602</v>
      </c>
      <c r="AE1" s="42" t="s">
        <v>603</v>
      </c>
      <c r="AF1" s="42" t="s">
        <v>604</v>
      </c>
      <c r="AG1" s="42" t="s">
        <v>605</v>
      </c>
      <c r="AH1" s="42" t="s">
        <v>606</v>
      </c>
      <c r="AI1" s="42" t="s">
        <v>607</v>
      </c>
      <c r="AJ1" s="42" t="s">
        <v>608</v>
      </c>
      <c r="AK1" s="42" t="s">
        <v>609</v>
      </c>
      <c r="AL1" s="42" t="s">
        <v>610</v>
      </c>
      <c r="AM1" s="42" t="s">
        <v>611</v>
      </c>
    </row>
    <row r="2" spans="1:39" hidden="1" x14ac:dyDescent="0.3">
      <c r="A2" s="42" t="s">
        <v>64</v>
      </c>
      <c r="B2" s="42" t="s">
        <v>64</v>
      </c>
      <c r="C2" s="42" t="s">
        <v>64</v>
      </c>
      <c r="D2" s="42" t="s">
        <v>64</v>
      </c>
      <c r="E2" s="42" t="s">
        <v>64</v>
      </c>
      <c r="F2" s="42" t="s">
        <v>64</v>
      </c>
      <c r="G2" s="42" t="s">
        <v>64</v>
      </c>
      <c r="H2" s="42" t="s">
        <v>64</v>
      </c>
      <c r="I2" s="42" t="s">
        <v>64</v>
      </c>
      <c r="J2" s="42" t="s">
        <v>66</v>
      </c>
      <c r="K2" s="42" t="s">
        <v>66</v>
      </c>
      <c r="L2" s="42" t="s">
        <v>66</v>
      </c>
      <c r="M2" s="42" t="s">
        <v>66</v>
      </c>
      <c r="N2" s="42" t="s">
        <v>66</v>
      </c>
      <c r="O2" s="42" t="s">
        <v>66</v>
      </c>
      <c r="P2" s="42" t="s">
        <v>66</v>
      </c>
      <c r="Q2" s="42" t="s">
        <v>66</v>
      </c>
      <c r="R2" s="42" t="s">
        <v>66</v>
      </c>
      <c r="S2" s="42" t="s">
        <v>66</v>
      </c>
      <c r="T2" s="42" t="s">
        <v>66</v>
      </c>
      <c r="U2" s="42" t="s">
        <v>212</v>
      </c>
      <c r="V2" s="42" t="s">
        <v>66</v>
      </c>
      <c r="W2" s="42" t="s">
        <v>212</v>
      </c>
      <c r="X2" s="42" t="s">
        <v>66</v>
      </c>
      <c r="Y2" s="42" t="s">
        <v>212</v>
      </c>
      <c r="Z2" s="42" t="s">
        <v>66</v>
      </c>
      <c r="AA2" s="42" t="s">
        <v>212</v>
      </c>
      <c r="AB2" s="42" t="s">
        <v>66</v>
      </c>
      <c r="AC2" s="42" t="s">
        <v>212</v>
      </c>
      <c r="AD2" s="42" t="s">
        <v>66</v>
      </c>
      <c r="AE2" s="42" t="s">
        <v>212</v>
      </c>
      <c r="AF2" s="42" t="s">
        <v>66</v>
      </c>
      <c r="AG2" s="42" t="s">
        <v>66</v>
      </c>
      <c r="AH2" s="42" t="s">
        <v>66</v>
      </c>
      <c r="AI2" s="42" t="s">
        <v>66</v>
      </c>
      <c r="AJ2" s="42" t="s">
        <v>66</v>
      </c>
      <c r="AK2" s="42" t="s">
        <v>66</v>
      </c>
      <c r="AL2" s="42" t="s">
        <v>66</v>
      </c>
      <c r="AM2" s="42" t="s">
        <v>66</v>
      </c>
    </row>
    <row r="3" spans="1:39" ht="60" customHeight="1" x14ac:dyDescent="0.3">
      <c r="A3" s="103" t="s">
        <v>612</v>
      </c>
      <c r="B3" s="52"/>
      <c r="C3" s="52"/>
      <c r="D3" s="52"/>
      <c r="E3" s="52"/>
      <c r="F3" s="52"/>
      <c r="G3" s="52"/>
      <c r="H3" s="52"/>
      <c r="I3" s="52"/>
      <c r="J3" s="104" t="s">
        <v>68</v>
      </c>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row>
    <row r="4" spans="1:39" ht="25" customHeight="1" x14ac:dyDescent="0.3">
      <c r="A4" s="43" t="s">
        <v>69</v>
      </c>
      <c r="B4" s="43" t="s">
        <v>70</v>
      </c>
      <c r="C4" s="43" t="s">
        <v>71</v>
      </c>
      <c r="D4" s="43" t="s">
        <v>42</v>
      </c>
      <c r="E4" s="43" t="s">
        <v>72</v>
      </c>
      <c r="F4" s="43" t="s">
        <v>73</v>
      </c>
      <c r="G4" s="43" t="s">
        <v>74</v>
      </c>
      <c r="H4" s="43" t="s">
        <v>75</v>
      </c>
      <c r="I4" s="43" t="s">
        <v>76</v>
      </c>
      <c r="J4" s="44" t="s">
        <v>80</v>
      </c>
      <c r="K4" s="44" t="s">
        <v>81</v>
      </c>
      <c r="L4" s="44" t="s">
        <v>82</v>
      </c>
      <c r="M4" s="44" t="s">
        <v>613</v>
      </c>
      <c r="N4" s="44" t="s">
        <v>614</v>
      </c>
      <c r="O4" s="44" t="s">
        <v>535</v>
      </c>
      <c r="P4" s="44" t="s">
        <v>615</v>
      </c>
      <c r="Q4" s="44" t="s">
        <v>616</v>
      </c>
      <c r="R4" s="44" t="s">
        <v>617</v>
      </c>
      <c r="S4" s="44" t="s">
        <v>618</v>
      </c>
      <c r="T4" s="44" t="s">
        <v>482</v>
      </c>
      <c r="U4" s="44" t="s">
        <v>483</v>
      </c>
      <c r="V4" s="44" t="s">
        <v>619</v>
      </c>
      <c r="W4" s="44" t="s">
        <v>620</v>
      </c>
      <c r="X4" s="44" t="s">
        <v>368</v>
      </c>
      <c r="Y4" s="44" t="s">
        <v>369</v>
      </c>
      <c r="Z4" s="44" t="s">
        <v>377</v>
      </c>
      <c r="AA4" s="44" t="s">
        <v>378</v>
      </c>
      <c r="AB4" s="44" t="s">
        <v>428</v>
      </c>
      <c r="AC4" s="44" t="s">
        <v>429</v>
      </c>
      <c r="AD4" s="44" t="s">
        <v>621</v>
      </c>
      <c r="AE4" s="44" t="s">
        <v>622</v>
      </c>
      <c r="AF4" s="44" t="s">
        <v>623</v>
      </c>
      <c r="AG4" s="44" t="s">
        <v>624</v>
      </c>
      <c r="AH4" s="44" t="s">
        <v>625</v>
      </c>
      <c r="AI4" s="44" t="s">
        <v>626</v>
      </c>
      <c r="AJ4" s="44" t="s">
        <v>627</v>
      </c>
      <c r="AK4" s="44" t="s">
        <v>628</v>
      </c>
      <c r="AL4" s="44" t="s">
        <v>629</v>
      </c>
      <c r="AM4" s="44" t="s">
        <v>630</v>
      </c>
    </row>
    <row r="5" spans="1:39" ht="25" customHeight="1" x14ac:dyDescent="0.3">
      <c r="A5" s="45" t="s">
        <v>631</v>
      </c>
      <c r="B5" s="45" t="s">
        <v>632</v>
      </c>
      <c r="C5" s="45" t="s">
        <v>633</v>
      </c>
      <c r="D5" s="45" t="s">
        <v>634</v>
      </c>
      <c r="E5" s="42"/>
      <c r="F5" s="42" t="s">
        <v>635</v>
      </c>
      <c r="G5" s="42" t="s">
        <v>636</v>
      </c>
      <c r="H5" s="42" t="s">
        <v>99</v>
      </c>
      <c r="I5" s="45" t="s">
        <v>637</v>
      </c>
      <c r="J5" s="45" t="s">
        <v>387</v>
      </c>
      <c r="K5" s="45" t="s">
        <v>638</v>
      </c>
      <c r="L5" s="45" t="s">
        <v>639</v>
      </c>
      <c r="M5" s="45" t="s">
        <v>640</v>
      </c>
      <c r="N5" s="45" t="s">
        <v>641</v>
      </c>
      <c r="O5" s="45" t="s">
        <v>558</v>
      </c>
      <c r="P5" s="45" t="s">
        <v>642</v>
      </c>
      <c r="Q5" s="45" t="s">
        <v>643</v>
      </c>
      <c r="R5" s="45" t="s">
        <v>644</v>
      </c>
      <c r="S5" s="45" t="s">
        <v>450</v>
      </c>
      <c r="T5" s="45" t="s">
        <v>645</v>
      </c>
      <c r="U5" s="45" t="s">
        <v>646</v>
      </c>
      <c r="V5" s="45" t="s">
        <v>645</v>
      </c>
      <c r="W5" s="45" t="s">
        <v>506</v>
      </c>
      <c r="X5" s="45" t="s">
        <v>462</v>
      </c>
      <c r="Y5" s="45" t="s">
        <v>393</v>
      </c>
      <c r="Z5" s="45" t="s">
        <v>647</v>
      </c>
      <c r="AA5" s="45" t="s">
        <v>393</v>
      </c>
      <c r="AB5" s="45" t="s">
        <v>648</v>
      </c>
      <c r="AC5" s="45" t="s">
        <v>449</v>
      </c>
      <c r="AD5" s="45" t="s">
        <v>450</v>
      </c>
      <c r="AE5" s="45" t="s">
        <v>649</v>
      </c>
      <c r="AF5" s="45" t="s">
        <v>188</v>
      </c>
      <c r="AG5" s="45" t="s">
        <v>350</v>
      </c>
      <c r="AH5" s="45" t="s">
        <v>188</v>
      </c>
      <c r="AI5" s="45" t="s">
        <v>350</v>
      </c>
      <c r="AJ5" s="45" t="s">
        <v>350</v>
      </c>
      <c r="AK5" s="45" t="s">
        <v>350</v>
      </c>
      <c r="AL5" s="45" t="s">
        <v>188</v>
      </c>
      <c r="AM5" s="45" t="s">
        <v>650</v>
      </c>
    </row>
  </sheetData>
  <mergeCells count="2">
    <mergeCell ref="A3:I3"/>
    <mergeCell ref="J3:AM3"/>
  </mergeCell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AE3:AE10001 AF3:AF10001 AG3:AG10001 AH3:AH10001 AI3:AI10001 AJ3:AJ10001 AK3:AK10001 AL3:AL10001 AM3:AM1000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18" width="23.4609375" customWidth="1"/>
  </cols>
  <sheetData>
    <row r="1" spans="1:18" hidden="1" x14ac:dyDescent="0.3">
      <c r="A1" s="42" t="s">
        <v>39</v>
      </c>
      <c r="B1" s="42" t="s">
        <v>40</v>
      </c>
      <c r="C1" s="42" t="s">
        <v>41</v>
      </c>
      <c r="D1" s="42" t="s">
        <v>42</v>
      </c>
      <c r="E1" s="42" t="s">
        <v>43</v>
      </c>
      <c r="F1" s="42" t="s">
        <v>44</v>
      </c>
      <c r="G1" s="42" t="s">
        <v>45</v>
      </c>
      <c r="H1" s="42" t="s">
        <v>46</v>
      </c>
      <c r="I1" s="42" t="s">
        <v>47</v>
      </c>
      <c r="J1" s="42" t="s">
        <v>48</v>
      </c>
      <c r="K1" s="42" t="s">
        <v>51</v>
      </c>
      <c r="L1" s="42" t="s">
        <v>50</v>
      </c>
      <c r="M1" s="42" t="s">
        <v>52</v>
      </c>
      <c r="N1" s="42" t="s">
        <v>53</v>
      </c>
      <c r="O1" s="42" t="s">
        <v>352</v>
      </c>
      <c r="P1" s="42" t="s">
        <v>651</v>
      </c>
      <c r="Q1" s="42" t="s">
        <v>415</v>
      </c>
      <c r="R1" s="42" t="s">
        <v>416</v>
      </c>
    </row>
    <row r="2" spans="1:18"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212</v>
      </c>
    </row>
    <row r="3" spans="1:18" ht="60" customHeight="1" x14ac:dyDescent="0.3">
      <c r="A3" s="103" t="s">
        <v>652</v>
      </c>
      <c r="B3" s="52"/>
      <c r="C3" s="52"/>
      <c r="D3" s="52"/>
      <c r="E3" s="52"/>
      <c r="F3" s="52"/>
      <c r="G3" s="52"/>
      <c r="H3" s="52"/>
      <c r="I3" s="52"/>
      <c r="J3" s="52"/>
      <c r="K3" s="104" t="s">
        <v>68</v>
      </c>
      <c r="L3" s="52"/>
      <c r="M3" s="52"/>
      <c r="N3" s="52"/>
      <c r="O3" s="52"/>
      <c r="P3" s="52"/>
      <c r="Q3" s="52"/>
      <c r="R3" s="52"/>
    </row>
    <row r="4" spans="1:18" ht="25" customHeight="1" x14ac:dyDescent="0.3">
      <c r="A4" s="43" t="s">
        <v>69</v>
      </c>
      <c r="B4" s="43" t="s">
        <v>70</v>
      </c>
      <c r="C4" s="43" t="s">
        <v>71</v>
      </c>
      <c r="D4" s="43" t="s">
        <v>42</v>
      </c>
      <c r="E4" s="43" t="s">
        <v>72</v>
      </c>
      <c r="F4" s="43" t="s">
        <v>73</v>
      </c>
      <c r="G4" s="43" t="s">
        <v>74</v>
      </c>
      <c r="H4" s="43" t="s">
        <v>75</v>
      </c>
      <c r="I4" s="43" t="s">
        <v>76</v>
      </c>
      <c r="J4" s="43" t="s">
        <v>77</v>
      </c>
      <c r="K4" s="44" t="s">
        <v>80</v>
      </c>
      <c r="L4" s="44" t="s">
        <v>79</v>
      </c>
      <c r="M4" s="44" t="s">
        <v>81</v>
      </c>
      <c r="N4" s="44" t="s">
        <v>82</v>
      </c>
      <c r="O4" s="44" t="s">
        <v>367</v>
      </c>
      <c r="P4" s="44" t="s">
        <v>653</v>
      </c>
      <c r="Q4" s="44" t="s">
        <v>426</v>
      </c>
      <c r="R4" s="44" t="s">
        <v>427</v>
      </c>
    </row>
    <row r="5" spans="1:18" ht="25" customHeight="1" x14ac:dyDescent="0.3">
      <c r="A5" s="45" t="s">
        <v>654</v>
      </c>
      <c r="B5" s="45" t="s">
        <v>655</v>
      </c>
      <c r="C5" s="45" t="s">
        <v>656</v>
      </c>
      <c r="D5" s="45" t="s">
        <v>657</v>
      </c>
      <c r="E5" s="42"/>
      <c r="F5" s="42" t="s">
        <v>658</v>
      </c>
      <c r="G5" s="42" t="s">
        <v>659</v>
      </c>
      <c r="H5" s="42" t="s">
        <v>99</v>
      </c>
      <c r="I5" s="45" t="s">
        <v>660</v>
      </c>
      <c r="J5" s="45" t="s">
        <v>236</v>
      </c>
      <c r="K5" s="45" t="s">
        <v>661</v>
      </c>
      <c r="L5" s="45" t="s">
        <v>99</v>
      </c>
      <c r="M5" s="45" t="s">
        <v>662</v>
      </c>
      <c r="N5" s="45" t="s">
        <v>663</v>
      </c>
      <c r="O5" s="45" t="s">
        <v>99</v>
      </c>
      <c r="P5" s="45" t="s">
        <v>99</v>
      </c>
      <c r="Q5" s="45"/>
      <c r="R5" s="45" t="s">
        <v>99</v>
      </c>
    </row>
  </sheetData>
  <mergeCells count="2">
    <mergeCell ref="A3:J3"/>
    <mergeCell ref="K3:R3"/>
  </mergeCells>
  <pageMargins left="0.7" right="0.7" top="0.75" bottom="0.75" header="0.3" footer="0.3"/>
  <ignoredErrors>
    <ignoredError sqref="A3:A10001 B3:B10001 C3:C10001 D3:D10001 E3:E10001 F3:F10001 G3:G10001 H3:H10001 I3:I10001 J3:J10001 K3:K10001 L3:L10001 M3:M10001 N3:N10001 O3:O10001 P3:P10001 Q3:Q10001 R3:R1000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A6"/>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7" width="23.4609375" customWidth="1"/>
  </cols>
  <sheetData>
    <row r="1" spans="1:27" hidden="1" x14ac:dyDescent="0.3">
      <c r="A1" s="42" t="s">
        <v>39</v>
      </c>
      <c r="B1" s="42" t="s">
        <v>40</v>
      </c>
      <c r="C1" s="42" t="s">
        <v>41</v>
      </c>
      <c r="D1" s="42" t="s">
        <v>42</v>
      </c>
      <c r="E1" s="42" t="s">
        <v>43</v>
      </c>
      <c r="F1" s="42" t="s">
        <v>44</v>
      </c>
      <c r="G1" s="42" t="s">
        <v>45</v>
      </c>
      <c r="H1" s="42" t="s">
        <v>46</v>
      </c>
      <c r="I1" s="42" t="s">
        <v>47</v>
      </c>
      <c r="J1" s="42" t="s">
        <v>48</v>
      </c>
      <c r="K1" s="42" t="s">
        <v>51</v>
      </c>
      <c r="L1" s="42" t="s">
        <v>52</v>
      </c>
      <c r="M1" s="42" t="s">
        <v>53</v>
      </c>
      <c r="N1" s="42" t="s">
        <v>352</v>
      </c>
      <c r="O1" s="42" t="s">
        <v>205</v>
      </c>
      <c r="P1" s="42" t="s">
        <v>361</v>
      </c>
      <c r="Q1" s="42" t="s">
        <v>664</v>
      </c>
      <c r="R1" s="42" t="s">
        <v>353</v>
      </c>
      <c r="S1" s="42" t="s">
        <v>354</v>
      </c>
      <c r="T1" s="42" t="s">
        <v>355</v>
      </c>
      <c r="U1" s="42" t="s">
        <v>356</v>
      </c>
      <c r="V1" s="42" t="s">
        <v>516</v>
      </c>
      <c r="W1" s="42" t="s">
        <v>517</v>
      </c>
      <c r="X1" s="42" t="s">
        <v>208</v>
      </c>
      <c r="Y1" s="42" t="s">
        <v>209</v>
      </c>
      <c r="Z1" s="42" t="s">
        <v>665</v>
      </c>
      <c r="AA1" s="42" t="s">
        <v>364</v>
      </c>
    </row>
    <row r="2" spans="1:27"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66</v>
      </c>
      <c r="S2" s="42" t="s">
        <v>212</v>
      </c>
      <c r="T2" s="42" t="s">
        <v>66</v>
      </c>
      <c r="U2" s="42" t="s">
        <v>212</v>
      </c>
      <c r="V2" s="42" t="s">
        <v>66</v>
      </c>
      <c r="W2" s="42" t="s">
        <v>212</v>
      </c>
      <c r="X2" s="42" t="s">
        <v>66</v>
      </c>
      <c r="Y2" s="42" t="s">
        <v>212</v>
      </c>
      <c r="Z2" s="42" t="s">
        <v>66</v>
      </c>
      <c r="AA2" s="42" t="s">
        <v>66</v>
      </c>
    </row>
    <row r="3" spans="1:27" ht="60" customHeight="1" x14ac:dyDescent="0.3">
      <c r="A3" s="103" t="s">
        <v>666</v>
      </c>
      <c r="B3" s="52"/>
      <c r="C3" s="52"/>
      <c r="D3" s="52"/>
      <c r="E3" s="52"/>
      <c r="F3" s="52"/>
      <c r="G3" s="52"/>
      <c r="H3" s="52"/>
      <c r="I3" s="52"/>
      <c r="J3" s="52"/>
      <c r="K3" s="104" t="s">
        <v>68</v>
      </c>
      <c r="L3" s="52"/>
      <c r="M3" s="52"/>
      <c r="N3" s="52"/>
      <c r="O3" s="52"/>
      <c r="P3" s="52"/>
      <c r="Q3" s="52"/>
      <c r="R3" s="52"/>
      <c r="S3" s="52"/>
      <c r="T3" s="52"/>
      <c r="U3" s="52"/>
      <c r="V3" s="52"/>
      <c r="W3" s="52"/>
      <c r="X3" s="52"/>
      <c r="Y3" s="52"/>
      <c r="Z3" s="52"/>
      <c r="AA3" s="52"/>
    </row>
    <row r="4" spans="1:27" ht="25" customHeight="1" x14ac:dyDescent="0.3">
      <c r="A4" s="43" t="s">
        <v>69</v>
      </c>
      <c r="B4" s="43" t="s">
        <v>70</v>
      </c>
      <c r="C4" s="43" t="s">
        <v>71</v>
      </c>
      <c r="D4" s="43" t="s">
        <v>42</v>
      </c>
      <c r="E4" s="43" t="s">
        <v>72</v>
      </c>
      <c r="F4" s="43" t="s">
        <v>73</v>
      </c>
      <c r="G4" s="43" t="s">
        <v>74</v>
      </c>
      <c r="H4" s="43" t="s">
        <v>75</v>
      </c>
      <c r="I4" s="43" t="s">
        <v>76</v>
      </c>
      <c r="J4" s="43" t="s">
        <v>77</v>
      </c>
      <c r="K4" s="44" t="s">
        <v>80</v>
      </c>
      <c r="L4" s="44" t="s">
        <v>81</v>
      </c>
      <c r="M4" s="44" t="s">
        <v>82</v>
      </c>
      <c r="N4" s="44" t="s">
        <v>367</v>
      </c>
      <c r="O4" s="44" t="s">
        <v>221</v>
      </c>
      <c r="P4" s="44" t="s">
        <v>376</v>
      </c>
      <c r="Q4" s="44" t="s">
        <v>366</v>
      </c>
      <c r="R4" s="44" t="s">
        <v>368</v>
      </c>
      <c r="S4" s="44" t="s">
        <v>369</v>
      </c>
      <c r="T4" s="44" t="s">
        <v>370</v>
      </c>
      <c r="U4" s="44" t="s">
        <v>371</v>
      </c>
      <c r="V4" s="44" t="s">
        <v>531</v>
      </c>
      <c r="W4" s="44" t="s">
        <v>532</v>
      </c>
      <c r="X4" s="44" t="s">
        <v>224</v>
      </c>
      <c r="Y4" s="44" t="s">
        <v>225</v>
      </c>
      <c r="Z4" s="44" t="s">
        <v>667</v>
      </c>
      <c r="AA4" s="44" t="s">
        <v>379</v>
      </c>
    </row>
    <row r="5" spans="1:27" ht="25" customHeight="1" x14ac:dyDescent="0.3">
      <c r="A5" s="45" t="s">
        <v>668</v>
      </c>
      <c r="B5" s="45" t="s">
        <v>669</v>
      </c>
      <c r="C5" s="45" t="s">
        <v>670</v>
      </c>
      <c r="D5" s="45" t="s">
        <v>671</v>
      </c>
      <c r="E5" s="42"/>
      <c r="F5" s="42" t="s">
        <v>672</v>
      </c>
      <c r="G5" s="42" t="s">
        <v>673</v>
      </c>
      <c r="H5" s="42" t="s">
        <v>99</v>
      </c>
      <c r="I5" s="45" t="s">
        <v>674</v>
      </c>
      <c r="J5" s="45" t="s">
        <v>675</v>
      </c>
      <c r="K5" s="46" t="s">
        <v>676</v>
      </c>
      <c r="L5" s="47" t="s">
        <v>677</v>
      </c>
      <c r="M5" s="47" t="s">
        <v>678</v>
      </c>
      <c r="N5" s="46" t="s">
        <v>99</v>
      </c>
      <c r="O5" s="47" t="s">
        <v>99</v>
      </c>
      <c r="P5" s="46" t="s">
        <v>445</v>
      </c>
      <c r="Q5" s="46" t="s">
        <v>679</v>
      </c>
      <c r="R5" s="46">
        <v>18.5</v>
      </c>
      <c r="S5" s="46" t="s">
        <v>393</v>
      </c>
      <c r="T5" s="46">
        <v>14</v>
      </c>
      <c r="U5" s="46" t="s">
        <v>393</v>
      </c>
      <c r="V5" s="46">
        <v>5</v>
      </c>
      <c r="W5" s="46" t="s">
        <v>393</v>
      </c>
      <c r="X5" s="46">
        <v>3</v>
      </c>
      <c r="Y5" s="46" t="s">
        <v>397</v>
      </c>
      <c r="Z5" s="46" t="s">
        <v>350</v>
      </c>
      <c r="AA5" s="46" t="s">
        <v>401</v>
      </c>
    </row>
    <row r="6" spans="1:27" ht="25" customHeight="1" x14ac:dyDescent="0.3">
      <c r="A6" s="45" t="s">
        <v>668</v>
      </c>
      <c r="B6" s="45" t="s">
        <v>680</v>
      </c>
      <c r="C6" s="45" t="s">
        <v>670</v>
      </c>
      <c r="D6" s="45" t="s">
        <v>671</v>
      </c>
      <c r="E6" s="42"/>
      <c r="F6" s="42" t="s">
        <v>672</v>
      </c>
      <c r="G6" s="42" t="s">
        <v>673</v>
      </c>
      <c r="H6" s="42" t="s">
        <v>99</v>
      </c>
      <c r="I6" s="45" t="s">
        <v>681</v>
      </c>
      <c r="J6" s="45" t="s">
        <v>675</v>
      </c>
      <c r="K6" s="45" t="s">
        <v>676</v>
      </c>
      <c r="L6" s="45" t="s">
        <v>677</v>
      </c>
      <c r="M6" s="45" t="s">
        <v>678</v>
      </c>
      <c r="N6" s="45" t="s">
        <v>99</v>
      </c>
      <c r="O6" s="45" t="s">
        <v>99</v>
      </c>
      <c r="P6" s="45" t="s">
        <v>445</v>
      </c>
      <c r="Q6" s="45" t="s">
        <v>679</v>
      </c>
      <c r="R6" s="45" t="s">
        <v>682</v>
      </c>
      <c r="S6" s="45" t="s">
        <v>393</v>
      </c>
      <c r="T6" s="45" t="s">
        <v>462</v>
      </c>
      <c r="U6" s="45" t="s">
        <v>393</v>
      </c>
      <c r="V6" s="45" t="s">
        <v>504</v>
      </c>
      <c r="W6" s="45" t="s">
        <v>393</v>
      </c>
      <c r="X6" s="45" t="s">
        <v>450</v>
      </c>
      <c r="Y6" s="45" t="s">
        <v>397</v>
      </c>
      <c r="Z6" s="45" t="s">
        <v>350</v>
      </c>
      <c r="AA6" s="45" t="s">
        <v>401</v>
      </c>
    </row>
  </sheetData>
  <mergeCells count="2">
    <mergeCell ref="A3:J3"/>
    <mergeCell ref="K3:AA3"/>
  </mergeCells>
  <conditionalFormatting sqref="K5">
    <cfRule type="cellIs" priority="1" operator="equal">
      <formula>"null"</formula>
    </cfRule>
  </conditionalFormatting>
  <conditionalFormatting sqref="N5:N6">
    <cfRule type="cellIs" dxfId="56" priority="2" operator="equal">
      <formula>""</formula>
    </cfRule>
  </conditionalFormatting>
  <conditionalFormatting sqref="P5:P6">
    <cfRule type="cellIs" dxfId="55" priority="3" operator="equal">
      <formula>"Plástico"</formula>
    </cfRule>
  </conditionalFormatting>
  <conditionalFormatting sqref="Q5:Q6">
    <cfRule type="cellIs" dxfId="54" priority="4" operator="equal">
      <formula>"Girafa Tubo Brinquedo Infantil"</formula>
    </cfRule>
  </conditionalFormatting>
  <conditionalFormatting sqref="S5:S6">
    <cfRule type="cellIs" dxfId="53" priority="5" operator="equal">
      <formula>"cm"</formula>
    </cfRule>
  </conditionalFormatting>
  <conditionalFormatting sqref="U5:U6">
    <cfRule type="cellIs" dxfId="52" priority="6" operator="equal">
      <formula>"cm"</formula>
    </cfRule>
  </conditionalFormatting>
  <conditionalFormatting sqref="W5:W6">
    <cfRule type="cellIs" dxfId="51" priority="7" operator="equal">
      <formula>"cm"</formula>
    </cfRule>
  </conditionalFormatting>
  <conditionalFormatting sqref="Y5:Y6">
    <cfRule type="cellIs" dxfId="50" priority="8" operator="equal">
      <formula>"anos"</formula>
    </cfRule>
  </conditionalFormatting>
  <conditionalFormatting sqref="Z5:Z6">
    <cfRule type="cellIs" dxfId="49" priority="9" operator="equal">
      <formula>"Sim"</formula>
    </cfRule>
  </conditionalFormatting>
  <conditionalFormatting sqref="AA5:AA6">
    <cfRule type="cellIs" dxfId="48" priority="10" operator="equal">
      <formula>"2-4 anos"</formula>
    </cfRule>
  </conditionalFormatting>
  <dataValidations count="8">
    <dataValidation type="list" allowBlank="1" showInputMessage="1" sqref="K5" xr:uid="{00000000-0002-0000-0A00-000000000000}">
      <formula1>"Digite o código"</formula1>
    </dataValidation>
    <dataValidation type="list" allowBlank="1" showInputMessage="1" sqref="N5:N6" xr:uid="{00000000-0002-0000-0A00-000001000000}">
      <formula1>"Homem Aranha,Dinossauro"</formula1>
    </dataValidation>
    <dataValidation type="list" allowBlank="1" showInputMessage="1" sqref="P5:P6" xr:uid="{00000000-0002-0000-0A00-000002000000}">
      <formula1>"Plástico,Silicone"</formula1>
    </dataValidation>
    <dataValidation type="list" allowBlank="1" showInputMessage="1" sqref="Q5:Q6" xr:uid="{00000000-0002-0000-0A00-000003000000}">
      <formula1>"Circular,Quadrada"</formula1>
    </dataValidation>
    <dataValidation type="list" allowBlank="1" showInputMessage="1" sqref="S5:S6 W5:W6 U5:U6" xr:uid="{00000000-0002-0000-0A00-000004000000}">
      <formula1>"cm,m"</formula1>
    </dataValidation>
    <dataValidation type="list" allowBlank="1" showInputMessage="1" sqref="Y5:Y6" xr:uid="{00000000-0002-0000-0A00-000007000000}">
      <formula1>"meses,anos"</formula1>
    </dataValidation>
    <dataValidation type="list" allowBlank="1" showInputMessage="1" sqref="Z5:Z6" xr:uid="{00000000-0002-0000-0A00-000008000000}">
      <formula1>"Não,Sim"</formula1>
    </dataValidation>
    <dataValidation type="list" allowBlank="1" showInputMessage="1" sqref="AA5:AA6" xr:uid="{00000000-0002-0000-0A00-000009000000}">
      <formula1>"0-6 meses,6-12 meses,12-18 meses,18-24 meses,0-24 meses,2-4 anos,5-7 anos,8-13 anos,14 anos ou mais"</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D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0" width="23.4609375" customWidth="1"/>
  </cols>
  <sheetData>
    <row r="1" spans="1:30" hidden="1" x14ac:dyDescent="0.3">
      <c r="A1" s="42" t="s">
        <v>39</v>
      </c>
      <c r="B1" s="42" t="s">
        <v>40</v>
      </c>
      <c r="C1" s="42" t="s">
        <v>41</v>
      </c>
      <c r="D1" s="42" t="s">
        <v>42</v>
      </c>
      <c r="E1" s="42" t="s">
        <v>43</v>
      </c>
      <c r="F1" s="42" t="s">
        <v>44</v>
      </c>
      <c r="G1" s="42" t="s">
        <v>45</v>
      </c>
      <c r="H1" s="42" t="s">
        <v>46</v>
      </c>
      <c r="I1" s="42" t="s">
        <v>47</v>
      </c>
      <c r="J1" s="42" t="s">
        <v>48</v>
      </c>
      <c r="K1" s="42" t="s">
        <v>51</v>
      </c>
      <c r="L1" s="42" t="s">
        <v>52</v>
      </c>
      <c r="M1" s="42" t="s">
        <v>53</v>
      </c>
      <c r="N1" s="42" t="s">
        <v>205</v>
      </c>
      <c r="O1" s="42" t="s">
        <v>361</v>
      </c>
      <c r="P1" s="42" t="s">
        <v>683</v>
      </c>
      <c r="Q1" s="42" t="s">
        <v>684</v>
      </c>
      <c r="R1" s="42" t="s">
        <v>685</v>
      </c>
      <c r="S1" s="42" t="s">
        <v>686</v>
      </c>
      <c r="T1" s="42" t="s">
        <v>208</v>
      </c>
      <c r="U1" s="42" t="s">
        <v>209</v>
      </c>
      <c r="V1" s="42" t="s">
        <v>415</v>
      </c>
      <c r="W1" s="42" t="s">
        <v>416</v>
      </c>
      <c r="X1" s="42" t="s">
        <v>353</v>
      </c>
      <c r="Y1" s="42" t="s">
        <v>354</v>
      </c>
      <c r="Z1" s="42" t="s">
        <v>355</v>
      </c>
      <c r="AA1" s="42" t="s">
        <v>356</v>
      </c>
      <c r="AB1" s="42" t="s">
        <v>417</v>
      </c>
      <c r="AC1" s="42" t="s">
        <v>418</v>
      </c>
      <c r="AD1" s="42" t="s">
        <v>364</v>
      </c>
    </row>
    <row r="2" spans="1:30"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66</v>
      </c>
      <c r="Q2" s="42" t="s">
        <v>66</v>
      </c>
      <c r="R2" s="42" t="s">
        <v>66</v>
      </c>
      <c r="S2" s="42" t="s">
        <v>66</v>
      </c>
      <c r="T2" s="42" t="s">
        <v>66</v>
      </c>
      <c r="U2" s="42" t="s">
        <v>212</v>
      </c>
      <c r="V2" s="42" t="s">
        <v>66</v>
      </c>
      <c r="W2" s="42" t="s">
        <v>212</v>
      </c>
      <c r="X2" s="42" t="s">
        <v>66</v>
      </c>
      <c r="Y2" s="42" t="s">
        <v>212</v>
      </c>
      <c r="Z2" s="42" t="s">
        <v>66</v>
      </c>
      <c r="AA2" s="42" t="s">
        <v>212</v>
      </c>
      <c r="AB2" s="42" t="s">
        <v>66</v>
      </c>
      <c r="AC2" s="42" t="s">
        <v>212</v>
      </c>
      <c r="AD2" s="42" t="s">
        <v>66</v>
      </c>
    </row>
    <row r="3" spans="1:30" ht="60" customHeight="1" x14ac:dyDescent="0.3">
      <c r="A3" s="103" t="s">
        <v>687</v>
      </c>
      <c r="B3" s="52"/>
      <c r="C3" s="52"/>
      <c r="D3" s="52"/>
      <c r="E3" s="52"/>
      <c r="F3" s="52"/>
      <c r="G3" s="52"/>
      <c r="H3" s="52"/>
      <c r="I3" s="52"/>
      <c r="J3" s="52"/>
      <c r="K3" s="104" t="s">
        <v>68</v>
      </c>
      <c r="L3" s="52"/>
      <c r="M3" s="52"/>
      <c r="N3" s="52"/>
      <c r="O3" s="52"/>
      <c r="P3" s="52"/>
      <c r="Q3" s="52"/>
      <c r="R3" s="52"/>
      <c r="S3" s="52"/>
      <c r="T3" s="52"/>
      <c r="U3" s="52"/>
      <c r="V3" s="52"/>
      <c r="W3" s="52"/>
      <c r="X3" s="52"/>
      <c r="Y3" s="52"/>
      <c r="Z3" s="52"/>
      <c r="AA3" s="52"/>
      <c r="AB3" s="52"/>
      <c r="AC3" s="52"/>
      <c r="AD3" s="52"/>
    </row>
    <row r="4" spans="1:30" ht="25" customHeight="1" x14ac:dyDescent="0.3">
      <c r="A4" s="43" t="s">
        <v>69</v>
      </c>
      <c r="B4" s="43" t="s">
        <v>70</v>
      </c>
      <c r="C4" s="43" t="s">
        <v>71</v>
      </c>
      <c r="D4" s="43" t="s">
        <v>42</v>
      </c>
      <c r="E4" s="43" t="s">
        <v>72</v>
      </c>
      <c r="F4" s="43" t="s">
        <v>73</v>
      </c>
      <c r="G4" s="43" t="s">
        <v>74</v>
      </c>
      <c r="H4" s="43" t="s">
        <v>75</v>
      </c>
      <c r="I4" s="43" t="s">
        <v>76</v>
      </c>
      <c r="J4" s="43" t="s">
        <v>77</v>
      </c>
      <c r="K4" s="44" t="s">
        <v>80</v>
      </c>
      <c r="L4" s="44" t="s">
        <v>81</v>
      </c>
      <c r="M4" s="44" t="s">
        <v>82</v>
      </c>
      <c r="N4" s="44" t="s">
        <v>221</v>
      </c>
      <c r="O4" s="44" t="s">
        <v>376</v>
      </c>
      <c r="P4" s="44" t="s">
        <v>688</v>
      </c>
      <c r="Q4" s="44" t="s">
        <v>689</v>
      </c>
      <c r="R4" s="44" t="s">
        <v>690</v>
      </c>
      <c r="S4" s="44" t="s">
        <v>691</v>
      </c>
      <c r="T4" s="44" t="s">
        <v>224</v>
      </c>
      <c r="U4" s="44" t="s">
        <v>225</v>
      </c>
      <c r="V4" s="44" t="s">
        <v>426</v>
      </c>
      <c r="W4" s="44" t="s">
        <v>427</v>
      </c>
      <c r="X4" s="44" t="s">
        <v>368</v>
      </c>
      <c r="Y4" s="44" t="s">
        <v>369</v>
      </c>
      <c r="Z4" s="44" t="s">
        <v>370</v>
      </c>
      <c r="AA4" s="44" t="s">
        <v>371</v>
      </c>
      <c r="AB4" s="44" t="s">
        <v>428</v>
      </c>
      <c r="AC4" s="44" t="s">
        <v>429</v>
      </c>
      <c r="AD4" s="44" t="s">
        <v>379</v>
      </c>
    </row>
    <row r="5" spans="1:30" ht="25" customHeight="1" x14ac:dyDescent="0.3">
      <c r="A5" s="45" t="s">
        <v>692</v>
      </c>
      <c r="B5" s="45" t="s">
        <v>693</v>
      </c>
      <c r="C5" s="45" t="s">
        <v>694</v>
      </c>
      <c r="D5" s="45" t="s">
        <v>695</v>
      </c>
      <c r="E5" s="42"/>
      <c r="F5" s="42" t="s">
        <v>696</v>
      </c>
      <c r="G5" s="42" t="s">
        <v>697</v>
      </c>
      <c r="H5" s="42" t="s">
        <v>99</v>
      </c>
      <c r="I5" s="45" t="s">
        <v>698</v>
      </c>
      <c r="J5" s="45" t="s">
        <v>699</v>
      </c>
      <c r="K5" s="45" t="s">
        <v>700</v>
      </c>
      <c r="L5" s="45" t="s">
        <v>701</v>
      </c>
      <c r="M5" s="45" t="s">
        <v>702</v>
      </c>
      <c r="N5" s="45" t="s">
        <v>99</v>
      </c>
      <c r="O5" s="45" t="s">
        <v>445</v>
      </c>
      <c r="P5" s="45" t="s">
        <v>350</v>
      </c>
      <c r="Q5" s="45" t="s">
        <v>350</v>
      </c>
      <c r="R5" s="45" t="s">
        <v>350</v>
      </c>
      <c r="S5" s="45" t="s">
        <v>398</v>
      </c>
      <c r="T5" s="45" t="s">
        <v>450</v>
      </c>
      <c r="U5" s="45" t="s">
        <v>397</v>
      </c>
      <c r="V5" s="45" t="s">
        <v>703</v>
      </c>
      <c r="W5" s="45" t="s">
        <v>393</v>
      </c>
      <c r="X5" s="45" t="s">
        <v>704</v>
      </c>
      <c r="Y5" s="45" t="s">
        <v>393</v>
      </c>
      <c r="Z5" s="45" t="s">
        <v>705</v>
      </c>
      <c r="AA5" s="45" t="s">
        <v>393</v>
      </c>
      <c r="AB5" s="45" t="s">
        <v>706</v>
      </c>
      <c r="AC5" s="45" t="s">
        <v>396</v>
      </c>
      <c r="AD5" s="45" t="s">
        <v>401</v>
      </c>
    </row>
  </sheetData>
  <mergeCells count="2">
    <mergeCell ref="A3:J3"/>
    <mergeCell ref="K3:AD3"/>
  </mergeCell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6"/>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0" width="23.4609375" customWidth="1"/>
  </cols>
  <sheetData>
    <row r="1" spans="1:30" hidden="1" x14ac:dyDescent="0.3">
      <c r="A1" s="42" t="s">
        <v>39</v>
      </c>
      <c r="B1" s="42" t="s">
        <v>40</v>
      </c>
      <c r="C1" s="42" t="s">
        <v>41</v>
      </c>
      <c r="D1" s="42" t="s">
        <v>42</v>
      </c>
      <c r="E1" s="42" t="s">
        <v>43</v>
      </c>
      <c r="F1" s="42" t="s">
        <v>44</v>
      </c>
      <c r="G1" s="42" t="s">
        <v>45</v>
      </c>
      <c r="H1" s="42" t="s">
        <v>46</v>
      </c>
      <c r="I1" s="42" t="s">
        <v>47</v>
      </c>
      <c r="J1" s="42" t="s">
        <v>707</v>
      </c>
      <c r="K1" s="42" t="s">
        <v>48</v>
      </c>
      <c r="L1" s="42" t="s">
        <v>49</v>
      </c>
      <c r="M1" s="42" t="s">
        <v>50</v>
      </c>
      <c r="N1" s="42" t="s">
        <v>51</v>
      </c>
      <c r="O1" s="42" t="s">
        <v>52</v>
      </c>
      <c r="P1" s="42" t="s">
        <v>53</v>
      </c>
      <c r="Q1" s="42" t="s">
        <v>54</v>
      </c>
      <c r="R1" s="42" t="s">
        <v>708</v>
      </c>
      <c r="S1" s="42" t="s">
        <v>203</v>
      </c>
      <c r="T1" s="42" t="s">
        <v>204</v>
      </c>
      <c r="U1" s="42" t="s">
        <v>709</v>
      </c>
      <c r="V1" s="42" t="s">
        <v>593</v>
      </c>
      <c r="W1" s="42" t="s">
        <v>710</v>
      </c>
      <c r="X1" s="42" t="s">
        <v>59</v>
      </c>
      <c r="Y1" s="42" t="s">
        <v>58</v>
      </c>
      <c r="Z1" s="42" t="s">
        <v>711</v>
      </c>
      <c r="AA1" s="42" t="s">
        <v>712</v>
      </c>
      <c r="AB1" s="42" t="s">
        <v>57</v>
      </c>
      <c r="AC1" s="42" t="s">
        <v>713</v>
      </c>
      <c r="AD1" s="42" t="s">
        <v>63</v>
      </c>
    </row>
    <row r="2" spans="1:30" hidden="1" x14ac:dyDescent="0.3">
      <c r="A2" s="42" t="s">
        <v>64</v>
      </c>
      <c r="B2" s="42" t="s">
        <v>64</v>
      </c>
      <c r="C2" s="42" t="s">
        <v>64</v>
      </c>
      <c r="D2" s="42" t="s">
        <v>64</v>
      </c>
      <c r="E2" s="42" t="s">
        <v>64</v>
      </c>
      <c r="F2" s="42" t="s">
        <v>64</v>
      </c>
      <c r="G2" s="42" t="s">
        <v>64</v>
      </c>
      <c r="H2" s="42" t="s">
        <v>64</v>
      </c>
      <c r="I2" s="42" t="s">
        <v>64</v>
      </c>
      <c r="J2" s="42" t="s">
        <v>65</v>
      </c>
      <c r="K2" s="42" t="s">
        <v>65</v>
      </c>
      <c r="L2" s="42" t="s">
        <v>65</v>
      </c>
      <c r="M2" s="42" t="s">
        <v>66</v>
      </c>
      <c r="N2" s="42" t="s">
        <v>66</v>
      </c>
      <c r="O2" s="42" t="s">
        <v>66</v>
      </c>
      <c r="P2" s="42" t="s">
        <v>66</v>
      </c>
      <c r="Q2" s="42" t="s">
        <v>66</v>
      </c>
      <c r="R2" s="42" t="s">
        <v>66</v>
      </c>
      <c r="S2" s="42" t="s">
        <v>66</v>
      </c>
      <c r="T2" s="42" t="s">
        <v>66</v>
      </c>
      <c r="U2" s="42" t="s">
        <v>66</v>
      </c>
      <c r="V2" s="42" t="s">
        <v>66</v>
      </c>
      <c r="W2" s="42" t="s">
        <v>66</v>
      </c>
      <c r="X2" s="42" t="s">
        <v>66</v>
      </c>
      <c r="Y2" s="42" t="s">
        <v>66</v>
      </c>
      <c r="Z2" s="42" t="s">
        <v>66</v>
      </c>
      <c r="AA2" s="42" t="s">
        <v>66</v>
      </c>
      <c r="AB2" s="42" t="s">
        <v>66</v>
      </c>
      <c r="AC2" s="42" t="s">
        <v>66</v>
      </c>
      <c r="AD2" s="42" t="s">
        <v>66</v>
      </c>
    </row>
    <row r="3" spans="1:30" ht="60" customHeight="1" x14ac:dyDescent="0.3">
      <c r="A3" s="103" t="s">
        <v>714</v>
      </c>
      <c r="B3" s="52"/>
      <c r="C3" s="52"/>
      <c r="D3" s="52"/>
      <c r="E3" s="52"/>
      <c r="F3" s="52"/>
      <c r="G3" s="52"/>
      <c r="H3" s="52"/>
      <c r="I3" s="52"/>
      <c r="J3" s="52"/>
      <c r="K3" s="52"/>
      <c r="L3" s="52"/>
      <c r="M3" s="104" t="s">
        <v>68</v>
      </c>
      <c r="N3" s="52"/>
      <c r="O3" s="52"/>
      <c r="P3" s="52"/>
      <c r="Q3" s="52"/>
      <c r="R3" s="52"/>
      <c r="S3" s="52"/>
      <c r="T3" s="52"/>
      <c r="U3" s="52"/>
      <c r="V3" s="52"/>
      <c r="W3" s="52"/>
      <c r="X3" s="52"/>
      <c r="Y3" s="52"/>
      <c r="Z3" s="52"/>
      <c r="AA3" s="52"/>
      <c r="AB3" s="52"/>
      <c r="AC3" s="52"/>
      <c r="AD3" s="52"/>
    </row>
    <row r="4" spans="1:30" ht="25" customHeight="1" x14ac:dyDescent="0.3">
      <c r="A4" s="43" t="s">
        <v>69</v>
      </c>
      <c r="B4" s="43" t="s">
        <v>70</v>
      </c>
      <c r="C4" s="43" t="s">
        <v>71</v>
      </c>
      <c r="D4" s="43" t="s">
        <v>42</v>
      </c>
      <c r="E4" s="43" t="s">
        <v>72</v>
      </c>
      <c r="F4" s="43" t="s">
        <v>73</v>
      </c>
      <c r="G4" s="43" t="s">
        <v>74</v>
      </c>
      <c r="H4" s="43" t="s">
        <v>75</v>
      </c>
      <c r="I4" s="43" t="s">
        <v>76</v>
      </c>
      <c r="J4" s="43" t="s">
        <v>715</v>
      </c>
      <c r="K4" s="43" t="s">
        <v>77</v>
      </c>
      <c r="L4" s="43" t="s">
        <v>78</v>
      </c>
      <c r="M4" s="44" t="s">
        <v>79</v>
      </c>
      <c r="N4" s="44" t="s">
        <v>80</v>
      </c>
      <c r="O4" s="44" t="s">
        <v>81</v>
      </c>
      <c r="P4" s="44" t="s">
        <v>82</v>
      </c>
      <c r="Q4" s="44" t="s">
        <v>83</v>
      </c>
      <c r="R4" s="44" t="s">
        <v>716</v>
      </c>
      <c r="S4" s="44" t="s">
        <v>219</v>
      </c>
      <c r="T4" s="44" t="s">
        <v>220</v>
      </c>
      <c r="U4" s="44" t="s">
        <v>717</v>
      </c>
      <c r="V4" s="44" t="s">
        <v>614</v>
      </c>
      <c r="W4" s="44" t="s">
        <v>718</v>
      </c>
      <c r="X4" s="44" t="s">
        <v>88</v>
      </c>
      <c r="Y4" s="44" t="s">
        <v>87</v>
      </c>
      <c r="Z4" s="44" t="s">
        <v>719</v>
      </c>
      <c r="AA4" s="44" t="s">
        <v>720</v>
      </c>
      <c r="AB4" s="44" t="s">
        <v>86</v>
      </c>
      <c r="AC4" s="44" t="s">
        <v>721</v>
      </c>
      <c r="AD4" s="44" t="s">
        <v>92</v>
      </c>
    </row>
    <row r="5" spans="1:30" ht="25" customHeight="1" x14ac:dyDescent="0.3">
      <c r="A5" s="45" t="s">
        <v>722</v>
      </c>
      <c r="B5" s="45" t="s">
        <v>723</v>
      </c>
      <c r="C5" s="45" t="s">
        <v>724</v>
      </c>
      <c r="D5" s="45" t="s">
        <v>725</v>
      </c>
      <c r="E5" s="42"/>
      <c r="F5" s="42" t="s">
        <v>726</v>
      </c>
      <c r="G5" s="42" t="s">
        <v>727</v>
      </c>
      <c r="H5" s="42" t="s">
        <v>99</v>
      </c>
      <c r="I5" s="45" t="s">
        <v>728</v>
      </c>
      <c r="J5" s="45" t="s">
        <v>729</v>
      </c>
      <c r="K5" s="45" t="s">
        <v>730</v>
      </c>
      <c r="L5" s="45" t="s">
        <v>102</v>
      </c>
      <c r="M5" s="46" t="s">
        <v>99</v>
      </c>
      <c r="N5" s="46" t="s">
        <v>103</v>
      </c>
      <c r="O5" s="46" t="s">
        <v>104</v>
      </c>
      <c r="P5" s="47" t="s">
        <v>782</v>
      </c>
      <c r="Q5" s="46" t="s">
        <v>180</v>
      </c>
      <c r="R5" s="46" t="s">
        <v>783</v>
      </c>
      <c r="S5" s="46" t="s">
        <v>784</v>
      </c>
      <c r="T5" s="47" t="s">
        <v>450</v>
      </c>
      <c r="U5" s="46" t="s">
        <v>350</v>
      </c>
      <c r="V5" s="46" t="s">
        <v>785</v>
      </c>
      <c r="W5" s="46" t="s">
        <v>184</v>
      </c>
      <c r="X5" s="46" t="s">
        <v>786</v>
      </c>
      <c r="Y5" s="46" t="s">
        <v>184</v>
      </c>
      <c r="Z5" s="46" t="s">
        <v>787</v>
      </c>
      <c r="AA5" s="46" t="s">
        <v>788</v>
      </c>
      <c r="AB5" s="46" t="s">
        <v>789</v>
      </c>
      <c r="AC5" s="46" t="s">
        <v>99</v>
      </c>
      <c r="AD5" s="46" t="s">
        <v>99</v>
      </c>
    </row>
    <row r="6" spans="1:30" ht="25" customHeight="1" x14ac:dyDescent="0.3">
      <c r="A6" s="45" t="s">
        <v>722</v>
      </c>
      <c r="B6" s="45" t="s">
        <v>790</v>
      </c>
      <c r="C6" s="45" t="s">
        <v>791</v>
      </c>
      <c r="D6" s="45" t="s">
        <v>792</v>
      </c>
      <c r="E6" s="42"/>
      <c r="F6" s="42" t="s">
        <v>726</v>
      </c>
      <c r="G6" s="42" t="s">
        <v>727</v>
      </c>
      <c r="H6" s="42" t="s">
        <v>99</v>
      </c>
      <c r="I6" s="45" t="s">
        <v>728</v>
      </c>
      <c r="J6" s="45" t="s">
        <v>729</v>
      </c>
      <c r="K6" s="45" t="s">
        <v>730</v>
      </c>
      <c r="L6" s="45" t="s">
        <v>195</v>
      </c>
      <c r="M6" s="46" t="s">
        <v>99</v>
      </c>
      <c r="N6" s="46" t="s">
        <v>103</v>
      </c>
      <c r="O6" s="46" t="s">
        <v>104</v>
      </c>
      <c r="P6" s="47" t="s">
        <v>782</v>
      </c>
      <c r="Q6" s="46" t="s">
        <v>180</v>
      </c>
      <c r="R6" s="46" t="s">
        <v>783</v>
      </c>
      <c r="S6" s="46" t="s">
        <v>784</v>
      </c>
      <c r="T6" s="47" t="s">
        <v>450</v>
      </c>
      <c r="U6" s="46" t="s">
        <v>350</v>
      </c>
      <c r="V6" s="46" t="s">
        <v>785</v>
      </c>
      <c r="W6" s="46" t="s">
        <v>184</v>
      </c>
      <c r="X6" s="46" t="s">
        <v>786</v>
      </c>
      <c r="Y6" s="46" t="s">
        <v>184</v>
      </c>
      <c r="Z6" s="46" t="s">
        <v>787</v>
      </c>
      <c r="AA6" s="46" t="s">
        <v>788</v>
      </c>
      <c r="AB6" s="46" t="s">
        <v>789</v>
      </c>
      <c r="AC6" s="46" t="s">
        <v>99</v>
      </c>
      <c r="AD6" s="46" t="s">
        <v>99</v>
      </c>
    </row>
  </sheetData>
  <mergeCells count="2">
    <mergeCell ref="A3:L3"/>
    <mergeCell ref="M3:AD3"/>
  </mergeCells>
  <conditionalFormatting sqref="M5:M6">
    <cfRule type="cellIs" dxfId="47" priority="1" operator="equal">
      <formula>""</formula>
    </cfRule>
  </conditionalFormatting>
  <conditionalFormatting sqref="N5:N6">
    <cfRule type="cellIs" priority="2" operator="equal">
      <formula>"null"</formula>
    </cfRule>
  </conditionalFormatting>
  <conditionalFormatting sqref="O5:O6">
    <cfRule type="cellIs" dxfId="46" priority="3" operator="equal">
      <formula>"Bride Oficial"</formula>
    </cfRule>
  </conditionalFormatting>
  <conditionalFormatting sqref="Q5:Q6">
    <cfRule type="cellIs" dxfId="45" priority="4" operator="equal">
      <formula>"Masculino"</formula>
    </cfRule>
  </conditionalFormatting>
  <conditionalFormatting sqref="R5:R6">
    <cfRule type="cellIs" dxfId="44" priority="5" operator="equal">
      <formula>"Camiseta"</formula>
    </cfRule>
  </conditionalFormatting>
  <conditionalFormatting sqref="S5:S6">
    <cfRule type="cellIs" dxfId="43" priority="6" operator="equal">
      <formula>"Kit"</formula>
    </cfRule>
  </conditionalFormatting>
  <conditionalFormatting sqref="U5:U6">
    <cfRule type="cellIs" dxfId="42" priority="7" operator="equal">
      <formula>"Sim"</formula>
    </cfRule>
  </conditionalFormatting>
  <conditionalFormatting sqref="V5:V6">
    <cfRule type="cellIs" dxfId="41" priority="8" operator="equal">
      <formula>"Balada,Casual,Corrida,Dia-a-dia,Esporte,Parque,Praia,academia,carnaval"</formula>
    </cfRule>
  </conditionalFormatting>
  <conditionalFormatting sqref="W5:W6">
    <cfRule type="cellIs" dxfId="40" priority="9" operator="equal">
      <formula>"Algodão"</formula>
    </cfRule>
  </conditionalFormatting>
  <conditionalFormatting sqref="X5:X6">
    <cfRule type="cellIs" dxfId="39" priority="10" operator="equal">
      <formula>"40% poliéster,60% algodão"</formula>
    </cfRule>
  </conditionalFormatting>
  <conditionalFormatting sqref="Y5:Y6">
    <cfRule type="cellIs" dxfId="38" priority="11" operator="equal">
      <formula>"Algodão"</formula>
    </cfRule>
  </conditionalFormatting>
  <conditionalFormatting sqref="Z5:Z6">
    <cfRule type="cellIs" dxfId="37" priority="12" operator="equal">
      <formula>"Sem mangas"</formula>
    </cfRule>
  </conditionalFormatting>
  <conditionalFormatting sqref="AA5:AA6">
    <cfRule type="cellIs" dxfId="36" priority="13" operator="equal">
      <formula>"Redonda"</formula>
    </cfRule>
  </conditionalFormatting>
  <conditionalFormatting sqref="AB5:AB6">
    <cfRule type="cellIs" dxfId="35" priority="14" operator="equal">
      <formula>"Slim"</formula>
    </cfRule>
  </conditionalFormatting>
  <conditionalFormatting sqref="AC5:AD6">
    <cfRule type="cellIs" dxfId="34" priority="15" operator="equal">
      <formula>""</formula>
    </cfRule>
  </conditionalFormatting>
  <dataValidations count="13">
    <dataValidation type="list" allowBlank="1" showInputMessage="1" sqref="M5:M6" xr:uid="{00000000-0002-0000-0C00-000000000000}">
      <formula1>"Preto,Azul,Vermelho,Violeta,Marrom,Verde,Laranja,Azul celeste,Rosa,Dourado,Prateado,Amarelo,Cinza,Branco,Multicolorido,Bege"</formula1>
    </dataValidation>
    <dataValidation type="list" allowBlank="1" showInputMessage="1" sqref="N5:N6" xr:uid="{00000000-0002-0000-0C00-000001000000}">
      <formula1>"Digite o código"</formula1>
    </dataValidation>
    <dataValidation type="list" allowBlank="1" showInputMessage="1" sqref="Q5:Q6" xr:uid="{00000000-0002-0000-0C00-000003000000}">
      <formula1>"Feminino,Masculino,Meninas,Meninos,Bebês,Sem gênero infantil,Sem gênero"</formula1>
    </dataValidation>
    <dataValidation type="list" allowBlank="1" showInputMessage="1" sqref="R5:R6" xr:uid="{00000000-0002-0000-0C00-000004000000}">
      <formula1>"Camiseta,Camisa polo"</formula1>
    </dataValidation>
    <dataValidation type="list" allowBlank="1" showInputMessage="1" sqref="S5:S6" xr:uid="{00000000-0002-0000-0C00-000005000000}">
      <formula1>"Unidade,Kit"</formula1>
    </dataValidation>
    <dataValidation type="list" allowBlank="1" showInputMessage="1" sqref="U5:U6 AC5:AD6" xr:uid="{00000000-0002-0000-0C00-000006000000}">
      <formula1>"Não,Sim"</formula1>
    </dataValidation>
    <dataValidation type="list" allowBlank="1" showInputMessage="1" sqref="V5:V6" xr:uid="{00000000-0002-0000-0C00-000007000000}">
      <formula1>"Tênis,Golfe"</formula1>
    </dataValidation>
    <dataValidation type="list" allowBlank="1" showInputMessage="1" sqref="W5:W6" xr:uid="{00000000-0002-0000-0C00-000008000000}">
      <formula1>"Gabardine,Jean"</formula1>
    </dataValidation>
    <dataValidation type="list" allowBlank="1" showInputMessage="1" sqref="X5:X6" xr:uid="{00000000-0002-0000-0C00-000009000000}">
      <formula1>"Algodão,Poliéster"</formula1>
    </dataValidation>
    <dataValidation type="list" allowBlank="1" showInputMessage="1" sqref="Y5:Y6" xr:uid="{00000000-0002-0000-0C00-00000A000000}">
      <formula1>"Lantejoulas,Cetim,Algodão,Viscolycra,Microfibra,Tule,Lycra,Bambu,Seda,Algodão pima,Poliéster,Poliamida,Lã,Náilon,Linho,Jeans,Piquet,Viscose"</formula1>
    </dataValidation>
    <dataValidation type="list" allowBlank="1" showInputMessage="1" sqref="Z5:Z6" xr:uid="{00000000-0002-0000-0C00-00000B000000}">
      <formula1>"Curta,Longa,3/4,Tomara que caia,Sem mangas"</formula1>
    </dataValidation>
    <dataValidation type="list" allowBlank="1" showInputMessage="1" sqref="AA5:AA6" xr:uid="{00000000-0002-0000-0C00-00000C000000}">
      <formula1>"Redonda,Polo,Gola V,Botões,Gola alta,Gola canoa"</formula1>
    </dataValidation>
    <dataValidation type="list" allowBlank="1" showInputMessage="1" sqref="AB5:AB6" xr:uid="{00000000-0002-0000-0C00-00000D000000}">
      <formula1>"Reta,Larga,Slim,Oversized"</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numberStoredAsText="1"/>
  </ignoredErrors>
  <extLst>
    <ext xmlns:x14="http://schemas.microsoft.com/office/spreadsheetml/2009/9/main" uri="{CCE6A557-97BC-4b89-ADB6-D9C93CAAB3DF}">
      <x14:dataValidations xmlns:xm="http://schemas.microsoft.com/office/excel/2006/main" count="1">
        <x14:dataValidation type="list" allowBlank="1" showInputMessage="1" xr:uid="{00000000-0002-0000-0C00-000002000000}">
          <x14:formula1>
            <xm:f>hidden!$A$12:$BV$12</xm:f>
          </x14:formula1>
          <xm:sqref>O5:O6</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3" width="23.4609375" customWidth="1"/>
  </cols>
  <sheetData>
    <row r="1" spans="1:23" hidden="1" x14ac:dyDescent="0.3">
      <c r="A1" s="42" t="s">
        <v>39</v>
      </c>
      <c r="B1" s="42" t="s">
        <v>40</v>
      </c>
      <c r="C1" s="42" t="s">
        <v>41</v>
      </c>
      <c r="D1" s="42" t="s">
        <v>42</v>
      </c>
      <c r="E1" s="42" t="s">
        <v>43</v>
      </c>
      <c r="F1" s="42" t="s">
        <v>44</v>
      </c>
      <c r="G1" s="42" t="s">
        <v>45</v>
      </c>
      <c r="H1" s="42" t="s">
        <v>46</v>
      </c>
      <c r="I1" s="42" t="s">
        <v>47</v>
      </c>
      <c r="J1" s="42" t="s">
        <v>48</v>
      </c>
      <c r="K1" s="42" t="s">
        <v>51</v>
      </c>
      <c r="L1" s="42" t="s">
        <v>52</v>
      </c>
      <c r="M1" s="42" t="s">
        <v>53</v>
      </c>
      <c r="N1" s="42" t="s">
        <v>793</v>
      </c>
      <c r="O1" s="42" t="s">
        <v>794</v>
      </c>
      <c r="P1" s="42" t="s">
        <v>795</v>
      </c>
      <c r="Q1" s="42" t="s">
        <v>796</v>
      </c>
      <c r="R1" s="42" t="s">
        <v>797</v>
      </c>
      <c r="S1" s="42" t="s">
        <v>798</v>
      </c>
      <c r="T1" s="42" t="s">
        <v>799</v>
      </c>
      <c r="U1" s="42" t="s">
        <v>800</v>
      </c>
      <c r="V1" s="42" t="s">
        <v>801</v>
      </c>
      <c r="W1" s="42" t="s">
        <v>414</v>
      </c>
    </row>
    <row r="2" spans="1:23"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66</v>
      </c>
      <c r="N2" s="42" t="s">
        <v>66</v>
      </c>
      <c r="O2" s="42" t="s">
        <v>66</v>
      </c>
      <c r="P2" s="42" t="s">
        <v>212</v>
      </c>
      <c r="Q2" s="42" t="s">
        <v>66</v>
      </c>
      <c r="R2" s="42" t="s">
        <v>212</v>
      </c>
      <c r="S2" s="42" t="s">
        <v>66</v>
      </c>
      <c r="T2" s="42" t="s">
        <v>212</v>
      </c>
      <c r="U2" s="42" t="s">
        <v>66</v>
      </c>
      <c r="V2" s="42" t="s">
        <v>66</v>
      </c>
      <c r="W2" s="42" t="s">
        <v>66</v>
      </c>
    </row>
    <row r="3" spans="1:23" ht="60" customHeight="1" x14ac:dyDescent="0.3">
      <c r="A3" s="103" t="s">
        <v>802</v>
      </c>
      <c r="B3" s="52"/>
      <c r="C3" s="52"/>
      <c r="D3" s="52"/>
      <c r="E3" s="52"/>
      <c r="F3" s="52"/>
      <c r="G3" s="52"/>
      <c r="H3" s="52"/>
      <c r="I3" s="52"/>
      <c r="J3" s="52"/>
      <c r="K3" s="104" t="s">
        <v>68</v>
      </c>
      <c r="L3" s="52"/>
      <c r="M3" s="52"/>
      <c r="N3" s="52"/>
      <c r="O3" s="52"/>
      <c r="P3" s="52"/>
      <c r="Q3" s="52"/>
      <c r="R3" s="52"/>
      <c r="S3" s="52"/>
      <c r="T3" s="52"/>
      <c r="U3" s="52"/>
      <c r="V3" s="52"/>
      <c r="W3" s="52"/>
    </row>
    <row r="4" spans="1:23" ht="25" customHeight="1" x14ac:dyDescent="0.3">
      <c r="A4" s="43" t="s">
        <v>69</v>
      </c>
      <c r="B4" s="43" t="s">
        <v>70</v>
      </c>
      <c r="C4" s="43" t="s">
        <v>71</v>
      </c>
      <c r="D4" s="43" t="s">
        <v>42</v>
      </c>
      <c r="E4" s="43" t="s">
        <v>72</v>
      </c>
      <c r="F4" s="43" t="s">
        <v>73</v>
      </c>
      <c r="G4" s="43" t="s">
        <v>74</v>
      </c>
      <c r="H4" s="43" t="s">
        <v>75</v>
      </c>
      <c r="I4" s="43" t="s">
        <v>76</v>
      </c>
      <c r="J4" s="43" t="s">
        <v>77</v>
      </c>
      <c r="K4" s="44" t="s">
        <v>80</v>
      </c>
      <c r="L4" s="44" t="s">
        <v>81</v>
      </c>
      <c r="M4" s="44" t="s">
        <v>82</v>
      </c>
      <c r="N4" s="44" t="s">
        <v>803</v>
      </c>
      <c r="O4" s="44" t="s">
        <v>804</v>
      </c>
      <c r="P4" s="44" t="s">
        <v>805</v>
      </c>
      <c r="Q4" s="44" t="s">
        <v>806</v>
      </c>
      <c r="R4" s="44" t="s">
        <v>807</v>
      </c>
      <c r="S4" s="44" t="s">
        <v>808</v>
      </c>
      <c r="T4" s="44" t="s">
        <v>809</v>
      </c>
      <c r="U4" s="44" t="s">
        <v>810</v>
      </c>
      <c r="V4" s="44" t="s">
        <v>811</v>
      </c>
      <c r="W4" s="44" t="s">
        <v>425</v>
      </c>
    </row>
    <row r="5" spans="1:23" ht="25" customHeight="1" x14ac:dyDescent="0.3">
      <c r="A5" s="45" t="s">
        <v>812</v>
      </c>
      <c r="B5" s="45" t="s">
        <v>813</v>
      </c>
      <c r="C5" s="45" t="s">
        <v>814</v>
      </c>
      <c r="D5" s="45" t="s">
        <v>815</v>
      </c>
      <c r="E5" s="42"/>
      <c r="F5" s="42" t="s">
        <v>816</v>
      </c>
      <c r="G5" s="42" t="s">
        <v>817</v>
      </c>
      <c r="H5" s="42" t="s">
        <v>99</v>
      </c>
      <c r="I5" s="45" t="s">
        <v>818</v>
      </c>
      <c r="J5" s="45" t="s">
        <v>236</v>
      </c>
      <c r="K5" s="46" t="s">
        <v>819</v>
      </c>
      <c r="L5" s="47" t="s">
        <v>104</v>
      </c>
      <c r="M5" s="47" t="s">
        <v>820</v>
      </c>
      <c r="N5" s="46" t="s">
        <v>821</v>
      </c>
      <c r="O5" s="46">
        <v>45</v>
      </c>
      <c r="P5" s="46" t="s">
        <v>393</v>
      </c>
      <c r="Q5" s="46">
        <v>78</v>
      </c>
      <c r="R5" s="46" t="s">
        <v>393</v>
      </c>
      <c r="S5" s="46">
        <v>1.8</v>
      </c>
      <c r="T5" s="46" t="s">
        <v>506</v>
      </c>
      <c r="U5" s="46" t="s">
        <v>188</v>
      </c>
      <c r="V5" s="46" t="s">
        <v>188</v>
      </c>
      <c r="W5" s="46" t="s">
        <v>822</v>
      </c>
    </row>
  </sheetData>
  <mergeCells count="2">
    <mergeCell ref="A3:J3"/>
    <mergeCell ref="K3:W3"/>
  </mergeCells>
  <conditionalFormatting sqref="K5">
    <cfRule type="cellIs" priority="1" operator="equal">
      <formula>"null"</formula>
    </cfRule>
  </conditionalFormatting>
  <conditionalFormatting sqref="N5">
    <cfRule type="cellIs" dxfId="33" priority="2" operator="equal">
      <formula>"De chão"</formula>
    </cfRule>
  </conditionalFormatting>
  <conditionalFormatting sqref="U5:V5">
    <cfRule type="cellIs" dxfId="32" priority="3" operator="equal">
      <formula>"Não"</formula>
    </cfRule>
  </conditionalFormatting>
  <conditionalFormatting sqref="W5">
    <cfRule type="cellIs" dxfId="31" priority="5" operator="equal">
      <formula>"Metal,Plástico"</formula>
    </cfRule>
  </conditionalFormatting>
  <dataValidations count="4">
    <dataValidation type="list" allowBlank="1" showInputMessage="1" sqref="K5" xr:uid="{00000000-0002-0000-0D00-000000000000}">
      <formula1>"Digite o código"</formula1>
    </dataValidation>
    <dataValidation type="list" allowBlank="1" showInputMessage="1" sqref="N5" xr:uid="{00000000-0002-0000-0D00-000001000000}">
      <formula1>"De parede,De chão,De teto"</formula1>
    </dataValidation>
    <dataValidation type="list" allowBlank="1" showInputMessage="1" sqref="U5:V5" xr:uid="{00000000-0002-0000-0D00-000005000000}">
      <formula1>"Não,Sim"</formula1>
    </dataValidation>
    <dataValidation type="list" allowBlank="1" showInputMessage="1" sqref="W5" xr:uid="{00000000-0002-0000-0D00-000007000000}">
      <formula1>"Alumínio,Aço inoxidável,Plástico"</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numberStoredAsText="1"/>
  </ignoredErrors>
  <extLst>
    <ext xmlns:x14="http://schemas.microsoft.com/office/spreadsheetml/2009/9/main" uri="{CCE6A557-97BC-4b89-ADB6-D9C93CAAB3DF}">
      <x14:dataValidations xmlns:xm="http://schemas.microsoft.com/office/excel/2006/main" count="3">
        <x14:dataValidation type="list" allowBlank="1" showInputMessage="1" xr:uid="{00000000-0002-0000-0D00-000002000000}">
          <x14:formula1>
            <xm:f>hidden!$A$13:$D$13</xm:f>
          </x14:formula1>
          <xm:sqref>P5</xm:sqref>
        </x14:dataValidation>
        <x14:dataValidation type="list" allowBlank="1" showInputMessage="1" xr:uid="{00000000-0002-0000-0D00-000003000000}">
          <x14:formula1>
            <xm:f>hidden!$A$14:$D$14</xm:f>
          </x14:formula1>
          <xm:sqref>R5</xm:sqref>
        </x14:dataValidation>
        <x14:dataValidation type="list" allowBlank="1" showInputMessage="1" xr:uid="{00000000-0002-0000-0D00-000004000000}">
          <x14:formula1>
            <xm:f>hidden!$A$15:$D$15</xm:f>
          </x14:formula1>
          <xm:sqref>T5</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9" width="23.4609375" customWidth="1"/>
  </cols>
  <sheetData>
    <row r="1" spans="1:29" hidden="1" x14ac:dyDescent="0.3">
      <c r="A1" s="42" t="s">
        <v>39</v>
      </c>
      <c r="B1" s="42" t="s">
        <v>40</v>
      </c>
      <c r="C1" s="42" t="s">
        <v>41</v>
      </c>
      <c r="D1" s="42" t="s">
        <v>42</v>
      </c>
      <c r="E1" s="42" t="s">
        <v>43</v>
      </c>
      <c r="F1" s="42" t="s">
        <v>44</v>
      </c>
      <c r="G1" s="42" t="s">
        <v>45</v>
      </c>
      <c r="H1" s="42" t="s">
        <v>46</v>
      </c>
      <c r="I1" s="42" t="s">
        <v>47</v>
      </c>
      <c r="J1" s="42" t="s">
        <v>48</v>
      </c>
      <c r="K1" s="42" t="s">
        <v>50</v>
      </c>
      <c r="L1" s="42" t="s">
        <v>468</v>
      </c>
      <c r="M1" s="42" t="s">
        <v>469</v>
      </c>
      <c r="N1" s="42" t="s">
        <v>51</v>
      </c>
      <c r="O1" s="42" t="s">
        <v>52</v>
      </c>
      <c r="P1" s="42" t="s">
        <v>53</v>
      </c>
      <c r="Q1" s="42" t="s">
        <v>520</v>
      </c>
      <c r="R1" s="42" t="s">
        <v>823</v>
      </c>
      <c r="S1" s="42" t="s">
        <v>824</v>
      </c>
      <c r="T1" s="42" t="s">
        <v>414</v>
      </c>
      <c r="U1" s="42" t="s">
        <v>415</v>
      </c>
      <c r="V1" s="42" t="s">
        <v>416</v>
      </c>
      <c r="W1" s="42" t="s">
        <v>355</v>
      </c>
      <c r="X1" s="42" t="s">
        <v>356</v>
      </c>
      <c r="Y1" s="42" t="s">
        <v>353</v>
      </c>
      <c r="Z1" s="42" t="s">
        <v>354</v>
      </c>
      <c r="AA1" s="42" t="s">
        <v>825</v>
      </c>
      <c r="AB1" s="42" t="s">
        <v>826</v>
      </c>
      <c r="AC1" s="42" t="s">
        <v>827</v>
      </c>
    </row>
    <row r="2" spans="1:29"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212</v>
      </c>
      <c r="N2" s="42" t="s">
        <v>66</v>
      </c>
      <c r="O2" s="42" t="s">
        <v>66</v>
      </c>
      <c r="P2" s="42" t="s">
        <v>66</v>
      </c>
      <c r="Q2" s="42" t="s">
        <v>66</v>
      </c>
      <c r="R2" s="42" t="s">
        <v>66</v>
      </c>
      <c r="S2" s="42" t="s">
        <v>212</v>
      </c>
      <c r="T2" s="42" t="s">
        <v>66</v>
      </c>
      <c r="U2" s="42" t="s">
        <v>66</v>
      </c>
      <c r="V2" s="42" t="s">
        <v>212</v>
      </c>
      <c r="W2" s="42" t="s">
        <v>66</v>
      </c>
      <c r="X2" s="42" t="s">
        <v>212</v>
      </c>
      <c r="Y2" s="42" t="s">
        <v>66</v>
      </c>
      <c r="Z2" s="42" t="s">
        <v>212</v>
      </c>
      <c r="AA2" s="42" t="s">
        <v>66</v>
      </c>
      <c r="AB2" s="42" t="s">
        <v>66</v>
      </c>
      <c r="AC2" s="42" t="s">
        <v>66</v>
      </c>
    </row>
    <row r="3" spans="1:29" ht="60" customHeight="1" x14ac:dyDescent="0.3">
      <c r="A3" s="103" t="s">
        <v>828</v>
      </c>
      <c r="B3" s="52"/>
      <c r="C3" s="52"/>
      <c r="D3" s="52"/>
      <c r="E3" s="52"/>
      <c r="F3" s="52"/>
      <c r="G3" s="52"/>
      <c r="H3" s="52"/>
      <c r="I3" s="52"/>
      <c r="J3" s="52"/>
      <c r="K3" s="104" t="s">
        <v>68</v>
      </c>
      <c r="L3" s="52"/>
      <c r="M3" s="52"/>
      <c r="N3" s="52"/>
      <c r="O3" s="52"/>
      <c r="P3" s="52"/>
      <c r="Q3" s="52"/>
      <c r="R3" s="52"/>
      <c r="S3" s="52"/>
      <c r="T3" s="52"/>
      <c r="U3" s="52"/>
      <c r="V3" s="52"/>
      <c r="W3" s="52"/>
      <c r="X3" s="52"/>
      <c r="Y3" s="52"/>
      <c r="Z3" s="52"/>
      <c r="AA3" s="52"/>
      <c r="AB3" s="52"/>
      <c r="AC3" s="52"/>
    </row>
    <row r="4" spans="1:29" ht="25" customHeight="1" x14ac:dyDescent="0.3">
      <c r="A4" s="43" t="s">
        <v>69</v>
      </c>
      <c r="B4" s="43" t="s">
        <v>70</v>
      </c>
      <c r="C4" s="43" t="s">
        <v>71</v>
      </c>
      <c r="D4" s="43" t="s">
        <v>42</v>
      </c>
      <c r="E4" s="43" t="s">
        <v>72</v>
      </c>
      <c r="F4" s="43" t="s">
        <v>73</v>
      </c>
      <c r="G4" s="43" t="s">
        <v>74</v>
      </c>
      <c r="H4" s="43" t="s">
        <v>75</v>
      </c>
      <c r="I4" s="43" t="s">
        <v>76</v>
      </c>
      <c r="J4" s="43" t="s">
        <v>77</v>
      </c>
      <c r="K4" s="44" t="s">
        <v>79</v>
      </c>
      <c r="L4" s="44" t="s">
        <v>482</v>
      </c>
      <c r="M4" s="44" t="s">
        <v>483</v>
      </c>
      <c r="N4" s="44" t="s">
        <v>80</v>
      </c>
      <c r="O4" s="44" t="s">
        <v>81</v>
      </c>
      <c r="P4" s="44" t="s">
        <v>82</v>
      </c>
      <c r="Q4" s="44" t="s">
        <v>535</v>
      </c>
      <c r="R4" s="44" t="s">
        <v>829</v>
      </c>
      <c r="S4" s="44" t="s">
        <v>830</v>
      </c>
      <c r="T4" s="44" t="s">
        <v>425</v>
      </c>
      <c r="U4" s="44" t="s">
        <v>426</v>
      </c>
      <c r="V4" s="44" t="s">
        <v>427</v>
      </c>
      <c r="W4" s="44" t="s">
        <v>370</v>
      </c>
      <c r="X4" s="44" t="s">
        <v>371</v>
      </c>
      <c r="Y4" s="44" t="s">
        <v>368</v>
      </c>
      <c r="Z4" s="44" t="s">
        <v>369</v>
      </c>
      <c r="AA4" s="44" t="s">
        <v>831</v>
      </c>
      <c r="AB4" s="44" t="s">
        <v>832</v>
      </c>
      <c r="AC4" s="44" t="s">
        <v>833</v>
      </c>
    </row>
    <row r="5" spans="1:29" ht="25" customHeight="1" x14ac:dyDescent="0.3">
      <c r="A5" s="45" t="s">
        <v>834</v>
      </c>
      <c r="B5" s="45" t="s">
        <v>835</v>
      </c>
      <c r="C5" s="45" t="s">
        <v>836</v>
      </c>
      <c r="D5" s="45" t="s">
        <v>837</v>
      </c>
      <c r="E5" s="42"/>
      <c r="F5" s="42" t="s">
        <v>838</v>
      </c>
      <c r="G5" s="42" t="s">
        <v>839</v>
      </c>
      <c r="H5" s="42" t="s">
        <v>99</v>
      </c>
      <c r="I5" s="45" t="s">
        <v>840</v>
      </c>
      <c r="J5" s="45" t="s">
        <v>236</v>
      </c>
      <c r="K5" s="46" t="s">
        <v>236</v>
      </c>
      <c r="L5" s="46">
        <v>40</v>
      </c>
      <c r="M5" s="46" t="s">
        <v>841</v>
      </c>
      <c r="N5" s="46" t="s">
        <v>842</v>
      </c>
      <c r="O5" s="47" t="s">
        <v>843</v>
      </c>
      <c r="P5" s="47" t="s">
        <v>844</v>
      </c>
      <c r="Q5" s="46" t="s">
        <v>845</v>
      </c>
      <c r="R5" s="46">
        <v>1050</v>
      </c>
      <c r="S5" s="46" t="s">
        <v>846</v>
      </c>
      <c r="T5" s="46" t="s">
        <v>99</v>
      </c>
      <c r="U5" s="46">
        <v>11</v>
      </c>
      <c r="V5" s="46" t="s">
        <v>393</v>
      </c>
      <c r="W5" s="46">
        <v>14</v>
      </c>
      <c r="X5" s="46" t="s">
        <v>393</v>
      </c>
      <c r="Y5" s="46">
        <v>23</v>
      </c>
      <c r="Z5" s="46" t="s">
        <v>393</v>
      </c>
      <c r="AA5" s="46" t="s">
        <v>350</v>
      </c>
      <c r="AB5" s="46" t="s">
        <v>350</v>
      </c>
      <c r="AC5" s="46" t="s">
        <v>99</v>
      </c>
    </row>
  </sheetData>
  <mergeCells count="2">
    <mergeCell ref="A3:J3"/>
    <mergeCell ref="K3:AC3"/>
  </mergeCells>
  <conditionalFormatting sqref="K5">
    <cfRule type="cellIs" dxfId="30" priority="1" operator="equal">
      <formula>"Preto"</formula>
    </cfRule>
  </conditionalFormatting>
  <conditionalFormatting sqref="M5">
    <cfRule type="cellIs" dxfId="29" priority="2" operator="equal">
      <formula>"W"</formula>
    </cfRule>
  </conditionalFormatting>
  <conditionalFormatting sqref="N5">
    <cfRule type="cellIs" priority="3" operator="equal">
      <formula>"null"</formula>
    </cfRule>
  </conditionalFormatting>
  <conditionalFormatting sqref="Q5">
    <cfRule type="cellIs" dxfId="28" priority="4" operator="equal">
      <formula>"110v/220v E 12v/24v"</formula>
    </cfRule>
  </conditionalFormatting>
  <conditionalFormatting sqref="S5">
    <cfRule type="cellIs" dxfId="27" priority="5" operator="equal">
      <formula>"L"</formula>
    </cfRule>
  </conditionalFormatting>
  <conditionalFormatting sqref="T5">
    <cfRule type="cellIs" dxfId="26" priority="6" operator="equal">
      <formula>""</formula>
    </cfRule>
  </conditionalFormatting>
  <conditionalFormatting sqref="V5">
    <cfRule type="cellIs" dxfId="25" priority="7" operator="equal">
      <formula>"cm"</formula>
    </cfRule>
  </conditionalFormatting>
  <conditionalFormatting sqref="X5">
    <cfRule type="cellIs" dxfId="24" priority="8" operator="equal">
      <formula>"cm"</formula>
    </cfRule>
  </conditionalFormatting>
  <conditionalFormatting sqref="Z5">
    <cfRule type="cellIs" dxfId="23" priority="9" operator="equal">
      <formula>"cm"</formula>
    </cfRule>
  </conditionalFormatting>
  <conditionalFormatting sqref="AA5:AB5">
    <cfRule type="cellIs" dxfId="22" priority="10" operator="equal">
      <formula>"Sim"</formula>
    </cfRule>
  </conditionalFormatting>
  <conditionalFormatting sqref="AC5">
    <cfRule type="cellIs" dxfId="21" priority="12" operator="equal">
      <formula>""</formula>
    </cfRule>
  </conditionalFormatting>
  <dataValidations count="9">
    <dataValidation type="list" allowBlank="1" showInputMessage="1" sqref="K5" xr:uid="{00000000-0002-0000-0E00-000000000000}">
      <formula1>"Preto,Azul,Vermelho,Violeta,Marrom,Verde,Laranja,Azul celeste,Rosa,Dourado,Prateado,Amarelo,Cinza,Branco,Multicolorido,Bege"</formula1>
    </dataValidation>
    <dataValidation type="list" allowBlank="1" showInputMessage="1" sqref="M5" xr:uid="{00000000-0002-0000-0E00-000001000000}">
      <formula1>"W,kW"</formula1>
    </dataValidation>
    <dataValidation type="list" allowBlank="1" showInputMessage="1" sqref="N5" xr:uid="{00000000-0002-0000-0E00-000002000000}">
      <formula1>"Digite o código"</formula1>
    </dataValidation>
    <dataValidation type="list" allowBlank="1" showInputMessage="1" sqref="Q5" xr:uid="{00000000-0002-0000-0E00-000003000000}">
      <formula1>"Bateria,Corrente doméstica,Bateria/Corrente doméstica"</formula1>
    </dataValidation>
    <dataValidation type="list" allowBlank="1" showInputMessage="1" sqref="S5" xr:uid="{00000000-0002-0000-0E00-000004000000}">
      <formula1>"L,mL"</formula1>
    </dataValidation>
    <dataValidation type="list" allowBlank="1" showInputMessage="1" sqref="T5" xr:uid="{00000000-0002-0000-0E00-000005000000}">
      <formula1>"Aço inoxidável,Plástico"</formula1>
    </dataValidation>
    <dataValidation type="list" allowBlank="1" showInputMessage="1" sqref="V5 Z5 X5" xr:uid="{00000000-0002-0000-0E00-000006000000}">
      <formula1>"cm,mm"</formula1>
    </dataValidation>
    <dataValidation type="list" allowBlank="1" showInputMessage="1" sqref="AA5:AB5" xr:uid="{00000000-0002-0000-0E00-000009000000}">
      <formula1>"Não,Sim"</formula1>
    </dataValidation>
    <dataValidation type="list" allowBlank="1" showInputMessage="1" sqref="AC5" xr:uid="{00000000-0002-0000-0E00-00000B000000}">
      <formula1>"Colher,Garfo,Bolsa,Carregador,Guia do usuário"</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21" width="23.4609375" customWidth="1"/>
  </cols>
  <sheetData>
    <row r="1" spans="1:21" hidden="1" x14ac:dyDescent="0.3">
      <c r="A1" s="42" t="s">
        <v>39</v>
      </c>
      <c r="B1" s="42" t="s">
        <v>40</v>
      </c>
      <c r="C1" s="42" t="s">
        <v>41</v>
      </c>
      <c r="D1" s="42" t="s">
        <v>42</v>
      </c>
      <c r="E1" s="42" t="s">
        <v>43</v>
      </c>
      <c r="F1" s="42" t="s">
        <v>44</v>
      </c>
      <c r="G1" s="42" t="s">
        <v>45</v>
      </c>
      <c r="H1" s="42" t="s">
        <v>46</v>
      </c>
      <c r="I1" s="42" t="s">
        <v>47</v>
      </c>
      <c r="J1" s="42" t="s">
        <v>707</v>
      </c>
      <c r="K1" s="42" t="s">
        <v>48</v>
      </c>
      <c r="L1" s="42" t="s">
        <v>49</v>
      </c>
      <c r="M1" s="42" t="s">
        <v>50</v>
      </c>
      <c r="N1" s="42" t="s">
        <v>51</v>
      </c>
      <c r="O1" s="42" t="s">
        <v>52</v>
      </c>
      <c r="P1" s="42" t="s">
        <v>53</v>
      </c>
      <c r="Q1" s="42" t="s">
        <v>54</v>
      </c>
      <c r="R1" s="42" t="s">
        <v>58</v>
      </c>
      <c r="S1" s="42" t="s">
        <v>59</v>
      </c>
      <c r="T1" s="42" t="s">
        <v>55</v>
      </c>
      <c r="U1" s="42" t="s">
        <v>63</v>
      </c>
    </row>
    <row r="2" spans="1:21" hidden="1" x14ac:dyDescent="0.3">
      <c r="A2" s="42" t="s">
        <v>64</v>
      </c>
      <c r="B2" s="42" t="s">
        <v>64</v>
      </c>
      <c r="C2" s="42" t="s">
        <v>64</v>
      </c>
      <c r="D2" s="42" t="s">
        <v>64</v>
      </c>
      <c r="E2" s="42" t="s">
        <v>64</v>
      </c>
      <c r="F2" s="42" t="s">
        <v>64</v>
      </c>
      <c r="G2" s="42" t="s">
        <v>64</v>
      </c>
      <c r="H2" s="42" t="s">
        <v>64</v>
      </c>
      <c r="I2" s="42" t="s">
        <v>64</v>
      </c>
      <c r="J2" s="42" t="s">
        <v>65</v>
      </c>
      <c r="K2" s="42" t="s">
        <v>65</v>
      </c>
      <c r="L2" s="42" t="s">
        <v>65</v>
      </c>
      <c r="M2" s="42" t="s">
        <v>66</v>
      </c>
      <c r="N2" s="42" t="s">
        <v>66</v>
      </c>
      <c r="O2" s="42" t="s">
        <v>66</v>
      </c>
      <c r="P2" s="42" t="s">
        <v>66</v>
      </c>
      <c r="Q2" s="42" t="s">
        <v>66</v>
      </c>
      <c r="R2" s="42" t="s">
        <v>66</v>
      </c>
      <c r="S2" s="42" t="s">
        <v>66</v>
      </c>
      <c r="T2" s="42" t="s">
        <v>66</v>
      </c>
      <c r="U2" s="42" t="s">
        <v>66</v>
      </c>
    </row>
    <row r="3" spans="1:21" ht="60" customHeight="1" x14ac:dyDescent="0.3">
      <c r="A3" s="103" t="s">
        <v>847</v>
      </c>
      <c r="B3" s="52"/>
      <c r="C3" s="52"/>
      <c r="D3" s="52"/>
      <c r="E3" s="52"/>
      <c r="F3" s="52"/>
      <c r="G3" s="52"/>
      <c r="H3" s="52"/>
      <c r="I3" s="52"/>
      <c r="J3" s="52"/>
      <c r="K3" s="52"/>
      <c r="L3" s="52"/>
      <c r="M3" s="104" t="s">
        <v>68</v>
      </c>
      <c r="N3" s="52"/>
      <c r="O3" s="52"/>
      <c r="P3" s="52"/>
      <c r="Q3" s="52"/>
      <c r="R3" s="52"/>
      <c r="S3" s="52"/>
      <c r="T3" s="52"/>
      <c r="U3" s="52"/>
    </row>
    <row r="4" spans="1:21" ht="25" customHeight="1" x14ac:dyDescent="0.3">
      <c r="A4" s="43" t="s">
        <v>69</v>
      </c>
      <c r="B4" s="43" t="s">
        <v>70</v>
      </c>
      <c r="C4" s="43" t="s">
        <v>71</v>
      </c>
      <c r="D4" s="43" t="s">
        <v>42</v>
      </c>
      <c r="E4" s="43" t="s">
        <v>72</v>
      </c>
      <c r="F4" s="43" t="s">
        <v>73</v>
      </c>
      <c r="G4" s="43" t="s">
        <v>74</v>
      </c>
      <c r="H4" s="43" t="s">
        <v>75</v>
      </c>
      <c r="I4" s="43" t="s">
        <v>76</v>
      </c>
      <c r="J4" s="43" t="s">
        <v>715</v>
      </c>
      <c r="K4" s="43" t="s">
        <v>77</v>
      </c>
      <c r="L4" s="43" t="s">
        <v>78</v>
      </c>
      <c r="M4" s="44" t="s">
        <v>79</v>
      </c>
      <c r="N4" s="44" t="s">
        <v>80</v>
      </c>
      <c r="O4" s="44" t="s">
        <v>81</v>
      </c>
      <c r="P4" s="44" t="s">
        <v>82</v>
      </c>
      <c r="Q4" s="44" t="s">
        <v>83</v>
      </c>
      <c r="R4" s="44" t="s">
        <v>87</v>
      </c>
      <c r="S4" s="44" t="s">
        <v>88</v>
      </c>
      <c r="T4" s="44" t="s">
        <v>84</v>
      </c>
      <c r="U4" s="44" t="s">
        <v>92</v>
      </c>
    </row>
    <row r="5" spans="1:21" ht="25" customHeight="1" x14ac:dyDescent="0.3">
      <c r="A5" s="45" t="s">
        <v>848</v>
      </c>
      <c r="B5" s="45" t="s">
        <v>849</v>
      </c>
      <c r="C5" s="45" t="s">
        <v>850</v>
      </c>
      <c r="D5" s="45" t="s">
        <v>851</v>
      </c>
      <c r="E5" s="42"/>
      <c r="F5" s="42" t="s">
        <v>852</v>
      </c>
      <c r="G5" s="42" t="s">
        <v>853</v>
      </c>
      <c r="H5" s="42" t="s">
        <v>99</v>
      </c>
      <c r="I5" s="45" t="s">
        <v>854</v>
      </c>
      <c r="J5" s="45" t="s">
        <v>855</v>
      </c>
      <c r="K5" s="45" t="s">
        <v>856</v>
      </c>
      <c r="L5" s="45" t="s">
        <v>195</v>
      </c>
      <c r="M5" s="46" t="s">
        <v>99</v>
      </c>
      <c r="N5" s="46" t="s">
        <v>103</v>
      </c>
      <c r="O5" s="47" t="s">
        <v>104</v>
      </c>
      <c r="P5" s="47" t="s">
        <v>857</v>
      </c>
      <c r="Q5" s="46" t="s">
        <v>180</v>
      </c>
      <c r="R5" s="46" t="s">
        <v>858</v>
      </c>
      <c r="S5" s="47" t="s">
        <v>859</v>
      </c>
      <c r="T5" s="46" t="s">
        <v>181</v>
      </c>
      <c r="U5" s="46" t="s">
        <v>188</v>
      </c>
    </row>
  </sheetData>
  <mergeCells count="2">
    <mergeCell ref="A3:L3"/>
    <mergeCell ref="M3:U3"/>
  </mergeCells>
  <conditionalFormatting sqref="M5">
    <cfRule type="cellIs" dxfId="20" priority="1" operator="equal">
      <formula>""</formula>
    </cfRule>
  </conditionalFormatting>
  <conditionalFormatting sqref="N5">
    <cfRule type="cellIs" priority="2" operator="equal">
      <formula>"null"</formula>
    </cfRule>
  </conditionalFormatting>
  <conditionalFormatting sqref="Q5">
    <cfRule type="cellIs" dxfId="19" priority="3" operator="equal">
      <formula>"Masculino"</formula>
    </cfRule>
  </conditionalFormatting>
  <conditionalFormatting sqref="R5">
    <cfRule type="cellIs" dxfId="18" priority="4" operator="equal">
      <formula>"Poliéster"</formula>
    </cfRule>
  </conditionalFormatting>
  <conditionalFormatting sqref="T5">
    <cfRule type="cellIs" dxfId="17" priority="5" operator="equal">
      <formula>"Bermuda"</formula>
    </cfRule>
  </conditionalFormatting>
  <conditionalFormatting sqref="U5">
    <cfRule type="cellIs" dxfId="16" priority="6" operator="equal">
      <formula>"Não"</formula>
    </cfRule>
  </conditionalFormatting>
  <dataValidations count="6">
    <dataValidation type="list" allowBlank="1" showInputMessage="1" sqref="M5" xr:uid="{00000000-0002-0000-0F00-000000000000}">
      <formula1>"Preto,Azul,Vermelho,Violeta,Marrom,Verde,Laranja,Azul celeste,Rosa,Dourado,Prateado,Amarelo,Cinza,Branco,Multicolorido,Bege"</formula1>
    </dataValidation>
    <dataValidation type="list" allowBlank="1" showInputMessage="1" sqref="N5" xr:uid="{00000000-0002-0000-0F00-000001000000}">
      <formula1>"Digite o código"</formula1>
    </dataValidation>
    <dataValidation type="list" allowBlank="1" showInputMessage="1" sqref="Q5" xr:uid="{00000000-0002-0000-0F00-000002000000}">
      <formula1>"Feminino,Masculino,Meninas,Meninos,Bebês,Sem gênero infantil,Sem gênero"</formula1>
    </dataValidation>
    <dataValidation type="list" allowBlank="1" showInputMessage="1" sqref="R5" xr:uid="{00000000-0002-0000-0F00-000003000000}">
      <formula1>"Poliéster,Algodão,Bambu,Coolmax,Linho,Lycra,Microfibra,Modal,Náilon,Piquet,Poliamida,Raiom,Sintético,Elastano,Tencel,Viscose,Cetim"</formula1>
    </dataValidation>
    <dataValidation type="list" allowBlank="1" showInputMessage="1" sqref="T5" xr:uid="{00000000-0002-0000-0F00-000004000000}">
      <formula1>"Short saia,Bermuda,Short,Short com calça"</formula1>
    </dataValidation>
    <dataValidation type="list" allowBlank="1" showInputMessage="1" sqref="U5" xr:uid="{00000000-0002-0000-0F00-000005000000}">
      <formula1>"Não,Sim"</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K5"/>
  <sheetViews>
    <sheetView topLeftCell="B3" workbookViewId="0"/>
  </sheetViews>
  <sheetFormatPr defaultRowHeight="12.45" x14ac:dyDescent="0.3"/>
  <cols>
    <col min="1" max="1" width="23.4609375" hidden="1" customWidth="1"/>
    <col min="2" max="4" width="23.4609375" customWidth="1"/>
    <col min="5" max="8" width="23.4609375" hidden="1" customWidth="1"/>
    <col min="9" max="9" width="62.4609375" customWidth="1"/>
    <col min="10" max="37" width="23.4609375" customWidth="1"/>
  </cols>
  <sheetData>
    <row r="1" spans="1:37" hidden="1" x14ac:dyDescent="0.3">
      <c r="A1" s="42" t="s">
        <v>39</v>
      </c>
      <c r="B1" s="42" t="s">
        <v>40</v>
      </c>
      <c r="C1" s="42" t="s">
        <v>41</v>
      </c>
      <c r="D1" s="42" t="s">
        <v>42</v>
      </c>
      <c r="E1" s="42" t="s">
        <v>43</v>
      </c>
      <c r="F1" s="42" t="s">
        <v>44</v>
      </c>
      <c r="G1" s="42" t="s">
        <v>45</v>
      </c>
      <c r="H1" s="42" t="s">
        <v>46</v>
      </c>
      <c r="I1" s="42" t="s">
        <v>47</v>
      </c>
      <c r="J1" s="42" t="s">
        <v>48</v>
      </c>
      <c r="K1" s="42" t="s">
        <v>50</v>
      </c>
      <c r="L1" s="42" t="s">
        <v>860</v>
      </c>
      <c r="M1" s="42" t="s">
        <v>861</v>
      </c>
      <c r="N1" s="42" t="s">
        <v>51</v>
      </c>
      <c r="O1" s="42" t="s">
        <v>52</v>
      </c>
      <c r="P1" s="42" t="s">
        <v>470</v>
      </c>
      <c r="Q1" s="42" t="s">
        <v>53</v>
      </c>
      <c r="R1" s="42" t="s">
        <v>862</v>
      </c>
      <c r="S1" s="42" t="s">
        <v>823</v>
      </c>
      <c r="T1" s="42" t="s">
        <v>824</v>
      </c>
      <c r="U1" s="42" t="s">
        <v>863</v>
      </c>
      <c r="V1" s="42" t="s">
        <v>864</v>
      </c>
      <c r="W1" s="42" t="s">
        <v>865</v>
      </c>
      <c r="X1" s="42" t="s">
        <v>866</v>
      </c>
      <c r="Y1" s="42" t="s">
        <v>867</v>
      </c>
      <c r="Z1" s="42" t="s">
        <v>868</v>
      </c>
      <c r="AA1" s="42" t="s">
        <v>869</v>
      </c>
      <c r="AB1" s="42" t="s">
        <v>870</v>
      </c>
      <c r="AC1" s="42" t="s">
        <v>871</v>
      </c>
      <c r="AD1" s="42" t="s">
        <v>872</v>
      </c>
      <c r="AE1" s="42" t="s">
        <v>417</v>
      </c>
      <c r="AF1" s="42" t="s">
        <v>418</v>
      </c>
      <c r="AG1" s="42" t="s">
        <v>873</v>
      </c>
      <c r="AH1" s="42" t="s">
        <v>874</v>
      </c>
      <c r="AI1" s="42" t="s">
        <v>875</v>
      </c>
      <c r="AJ1" s="42" t="s">
        <v>876</v>
      </c>
      <c r="AK1" s="42" t="s">
        <v>877</v>
      </c>
    </row>
    <row r="2" spans="1:37" hidden="1" x14ac:dyDescent="0.3">
      <c r="A2" s="42" t="s">
        <v>64</v>
      </c>
      <c r="B2" s="42" t="s">
        <v>64</v>
      </c>
      <c r="C2" s="42" t="s">
        <v>64</v>
      </c>
      <c r="D2" s="42" t="s">
        <v>64</v>
      </c>
      <c r="E2" s="42" t="s">
        <v>64</v>
      </c>
      <c r="F2" s="42" t="s">
        <v>64</v>
      </c>
      <c r="G2" s="42" t="s">
        <v>64</v>
      </c>
      <c r="H2" s="42" t="s">
        <v>64</v>
      </c>
      <c r="I2" s="42" t="s">
        <v>64</v>
      </c>
      <c r="J2" s="42" t="s">
        <v>65</v>
      </c>
      <c r="K2" s="42" t="s">
        <v>66</v>
      </c>
      <c r="L2" s="42" t="s">
        <v>66</v>
      </c>
      <c r="M2" s="42" t="s">
        <v>212</v>
      </c>
      <c r="N2" s="42" t="s">
        <v>66</v>
      </c>
      <c r="O2" s="42" t="s">
        <v>66</v>
      </c>
      <c r="P2" s="42" t="s">
        <v>66</v>
      </c>
      <c r="Q2" s="42" t="s">
        <v>66</v>
      </c>
      <c r="R2" s="42" t="s">
        <v>66</v>
      </c>
      <c r="S2" s="42" t="s">
        <v>66</v>
      </c>
      <c r="T2" s="42" t="s">
        <v>212</v>
      </c>
      <c r="U2" s="42" t="s">
        <v>66</v>
      </c>
      <c r="V2" s="42" t="s">
        <v>66</v>
      </c>
      <c r="W2" s="42" t="s">
        <v>66</v>
      </c>
      <c r="X2" s="42" t="s">
        <v>66</v>
      </c>
      <c r="Y2" s="42" t="s">
        <v>66</v>
      </c>
      <c r="Z2" s="42" t="s">
        <v>66</v>
      </c>
      <c r="AA2" s="42" t="s">
        <v>66</v>
      </c>
      <c r="AB2" s="42" t="s">
        <v>66</v>
      </c>
      <c r="AC2" s="42" t="s">
        <v>66</v>
      </c>
      <c r="AD2" s="42" t="s">
        <v>66</v>
      </c>
      <c r="AE2" s="42" t="s">
        <v>66</v>
      </c>
      <c r="AF2" s="42" t="s">
        <v>212</v>
      </c>
      <c r="AG2" s="42" t="s">
        <v>66</v>
      </c>
      <c r="AH2" s="42" t="s">
        <v>212</v>
      </c>
      <c r="AI2" s="42" t="s">
        <v>66</v>
      </c>
      <c r="AJ2" s="42" t="s">
        <v>212</v>
      </c>
      <c r="AK2" s="42" t="s">
        <v>66</v>
      </c>
    </row>
    <row r="3" spans="1:37" ht="60" customHeight="1" x14ac:dyDescent="0.3">
      <c r="A3" s="103" t="s">
        <v>878</v>
      </c>
      <c r="B3" s="52"/>
      <c r="C3" s="52"/>
      <c r="D3" s="52"/>
      <c r="E3" s="52"/>
      <c r="F3" s="52"/>
      <c r="G3" s="52"/>
      <c r="H3" s="52"/>
      <c r="I3" s="52"/>
      <c r="J3" s="52"/>
      <c r="K3" s="104" t="s">
        <v>68</v>
      </c>
      <c r="L3" s="52"/>
      <c r="M3" s="52"/>
      <c r="N3" s="52"/>
      <c r="O3" s="52"/>
      <c r="P3" s="52"/>
      <c r="Q3" s="52"/>
      <c r="R3" s="52"/>
      <c r="S3" s="52"/>
      <c r="T3" s="52"/>
      <c r="U3" s="52"/>
      <c r="V3" s="52"/>
      <c r="W3" s="52"/>
      <c r="X3" s="52"/>
      <c r="Y3" s="52"/>
      <c r="Z3" s="52"/>
      <c r="AA3" s="52"/>
      <c r="AB3" s="52"/>
      <c r="AC3" s="52"/>
      <c r="AD3" s="52"/>
      <c r="AE3" s="52"/>
      <c r="AF3" s="52"/>
      <c r="AG3" s="52"/>
      <c r="AH3" s="52"/>
      <c r="AI3" s="52"/>
      <c r="AJ3" s="52"/>
      <c r="AK3" s="52"/>
    </row>
    <row r="4" spans="1:37" ht="25" customHeight="1" x14ac:dyDescent="0.3">
      <c r="A4" s="43" t="s">
        <v>69</v>
      </c>
      <c r="B4" s="43" t="s">
        <v>70</v>
      </c>
      <c r="C4" s="43" t="s">
        <v>71</v>
      </c>
      <c r="D4" s="43" t="s">
        <v>42</v>
      </c>
      <c r="E4" s="43" t="s">
        <v>72</v>
      </c>
      <c r="F4" s="43" t="s">
        <v>73</v>
      </c>
      <c r="G4" s="43" t="s">
        <v>74</v>
      </c>
      <c r="H4" s="43" t="s">
        <v>75</v>
      </c>
      <c r="I4" s="43" t="s">
        <v>76</v>
      </c>
      <c r="J4" s="43" t="s">
        <v>77</v>
      </c>
      <c r="K4" s="44" t="s">
        <v>79</v>
      </c>
      <c r="L4" s="44" t="s">
        <v>879</v>
      </c>
      <c r="M4" s="44" t="s">
        <v>880</v>
      </c>
      <c r="N4" s="44" t="s">
        <v>80</v>
      </c>
      <c r="O4" s="44" t="s">
        <v>81</v>
      </c>
      <c r="P4" s="44" t="s">
        <v>484</v>
      </c>
      <c r="Q4" s="44" t="s">
        <v>82</v>
      </c>
      <c r="R4" s="44" t="s">
        <v>881</v>
      </c>
      <c r="S4" s="44" t="s">
        <v>829</v>
      </c>
      <c r="T4" s="44" t="s">
        <v>830</v>
      </c>
      <c r="U4" s="44" t="s">
        <v>882</v>
      </c>
      <c r="V4" s="44" t="s">
        <v>883</v>
      </c>
      <c r="W4" s="44" t="s">
        <v>884</v>
      </c>
      <c r="X4" s="44" t="s">
        <v>885</v>
      </c>
      <c r="Y4" s="44" t="s">
        <v>886</v>
      </c>
      <c r="Z4" s="44" t="s">
        <v>887</v>
      </c>
      <c r="AA4" s="44" t="s">
        <v>888</v>
      </c>
      <c r="AB4" s="44" t="s">
        <v>889</v>
      </c>
      <c r="AC4" s="44" t="s">
        <v>890</v>
      </c>
      <c r="AD4" s="44" t="s">
        <v>891</v>
      </c>
      <c r="AE4" s="44" t="s">
        <v>428</v>
      </c>
      <c r="AF4" s="44" t="s">
        <v>429</v>
      </c>
      <c r="AG4" s="44" t="s">
        <v>892</v>
      </c>
      <c r="AH4" s="44" t="s">
        <v>893</v>
      </c>
      <c r="AI4" s="44" t="s">
        <v>894</v>
      </c>
      <c r="AJ4" s="44" t="s">
        <v>895</v>
      </c>
      <c r="AK4" s="44" t="s">
        <v>896</v>
      </c>
    </row>
    <row r="5" spans="1:37" ht="25" customHeight="1" x14ac:dyDescent="0.3">
      <c r="A5" s="45" t="s">
        <v>897</v>
      </c>
      <c r="B5" s="45" t="s">
        <v>898</v>
      </c>
      <c r="C5" s="45" t="s">
        <v>899</v>
      </c>
      <c r="D5" s="45" t="s">
        <v>900</v>
      </c>
      <c r="E5" s="42"/>
      <c r="F5" s="42" t="s">
        <v>901</v>
      </c>
      <c r="G5" s="42" t="s">
        <v>902</v>
      </c>
      <c r="H5" s="42" t="s">
        <v>99</v>
      </c>
      <c r="I5" s="45" t="s">
        <v>903</v>
      </c>
      <c r="J5" s="45" t="s">
        <v>236</v>
      </c>
      <c r="K5" s="46" t="s">
        <v>236</v>
      </c>
      <c r="L5" s="46"/>
      <c r="M5" s="46" t="s">
        <v>99</v>
      </c>
      <c r="N5" s="46" t="s">
        <v>904</v>
      </c>
      <c r="O5" s="46" t="s">
        <v>104</v>
      </c>
      <c r="P5" s="47" t="s">
        <v>905</v>
      </c>
      <c r="Q5" s="47" t="s">
        <v>906</v>
      </c>
      <c r="R5" s="47" t="s">
        <v>907</v>
      </c>
      <c r="S5" s="46"/>
      <c r="T5" s="46" t="s">
        <v>99</v>
      </c>
      <c r="U5" s="47" t="s">
        <v>99</v>
      </c>
      <c r="V5" s="46" t="s">
        <v>908</v>
      </c>
      <c r="W5" s="46" t="s">
        <v>909</v>
      </c>
      <c r="X5" s="46" t="s">
        <v>99</v>
      </c>
      <c r="Y5" s="46" t="s">
        <v>188</v>
      </c>
      <c r="Z5" s="46" t="s">
        <v>350</v>
      </c>
      <c r="AA5" s="46" t="s">
        <v>188</v>
      </c>
      <c r="AB5" s="46" t="s">
        <v>350</v>
      </c>
      <c r="AC5" s="46" t="s">
        <v>188</v>
      </c>
      <c r="AD5" s="46" t="s">
        <v>350</v>
      </c>
      <c r="AE5" s="46">
        <v>268</v>
      </c>
      <c r="AF5" s="46" t="s">
        <v>449</v>
      </c>
      <c r="AG5" s="46"/>
      <c r="AH5" s="46" t="s">
        <v>99</v>
      </c>
      <c r="AI5" s="46"/>
      <c r="AJ5" s="46" t="s">
        <v>99</v>
      </c>
      <c r="AK5" s="46" t="s">
        <v>99</v>
      </c>
    </row>
  </sheetData>
  <mergeCells count="2">
    <mergeCell ref="A3:J3"/>
    <mergeCell ref="K3:AK3"/>
  </mergeCells>
  <conditionalFormatting sqref="K5">
    <cfRule type="cellIs" dxfId="15" priority="1" operator="equal">
      <formula>"Preto"</formula>
    </cfRule>
  </conditionalFormatting>
  <conditionalFormatting sqref="M5">
    <cfRule type="cellIs" dxfId="14" priority="2" operator="equal">
      <formula>""</formula>
    </cfRule>
  </conditionalFormatting>
  <conditionalFormatting sqref="N5">
    <cfRule type="cellIs" priority="3" operator="equal">
      <formula>"null"</formula>
    </cfRule>
  </conditionalFormatting>
  <conditionalFormatting sqref="O5">
    <cfRule type="cellIs" dxfId="13" priority="4" operator="equal">
      <formula>"Bride Oficial"</formula>
    </cfRule>
  </conditionalFormatting>
  <conditionalFormatting sqref="T5">
    <cfRule type="cellIs" dxfId="12" priority="5" operator="equal">
      <formula>""</formula>
    </cfRule>
  </conditionalFormatting>
  <conditionalFormatting sqref="V5">
    <cfRule type="cellIs" dxfId="11" priority="6" operator="equal">
      <formula>"De mão"</formula>
    </cfRule>
  </conditionalFormatting>
  <conditionalFormatting sqref="W5">
    <cfRule type="cellIs" dxfId="10" priority="7" operator="equal">
      <formula>"Recarregavel,Sem fio,Ventilador forte"</formula>
    </cfRule>
  </conditionalFormatting>
  <conditionalFormatting sqref="X5">
    <cfRule type="cellIs" dxfId="9" priority="8" operator="equal">
      <formula>""</formula>
    </cfRule>
  </conditionalFormatting>
  <conditionalFormatting sqref="Y5">
    <cfRule type="cellIs" dxfId="8" priority="9" operator="equal">
      <formula>"Não"</formula>
    </cfRule>
  </conditionalFormatting>
  <conditionalFormatting sqref="Z5">
    <cfRule type="cellIs" dxfId="7" priority="10" operator="equal">
      <formula>"Sim"</formula>
    </cfRule>
  </conditionalFormatting>
  <conditionalFormatting sqref="AA5">
    <cfRule type="cellIs" dxfId="6" priority="11" operator="equal">
      <formula>"Não"</formula>
    </cfRule>
  </conditionalFormatting>
  <conditionalFormatting sqref="AB5">
    <cfRule type="cellIs" dxfId="5" priority="12" operator="equal">
      <formula>"Sim"</formula>
    </cfRule>
  </conditionalFormatting>
  <conditionalFormatting sqref="AC5">
    <cfRule type="cellIs" dxfId="4" priority="13" operator="equal">
      <formula>"Não"</formula>
    </cfRule>
  </conditionalFormatting>
  <conditionalFormatting sqref="AD5">
    <cfRule type="cellIs" dxfId="3" priority="14" operator="equal">
      <formula>"Sim"</formula>
    </cfRule>
  </conditionalFormatting>
  <conditionalFormatting sqref="AF5">
    <cfRule type="cellIs" dxfId="2" priority="15" operator="equal">
      <formula>"g"</formula>
    </cfRule>
  </conditionalFormatting>
  <conditionalFormatting sqref="AH5">
    <cfRule type="cellIs" dxfId="1" priority="16" operator="equal">
      <formula>""</formula>
    </cfRule>
  </conditionalFormatting>
  <conditionalFormatting sqref="AJ5:AK5">
    <cfRule type="cellIs" dxfId="0" priority="17" operator="equal">
      <formula>""</formula>
    </cfRule>
  </conditionalFormatting>
  <dataValidations count="13">
    <dataValidation type="list" allowBlank="1" showInputMessage="1" sqref="K5" xr:uid="{00000000-0002-0000-1000-000000000000}">
      <formula1>"Preto,Azul,Vermelho,Violeta,Marrom,Verde,Laranja,Azul celeste,Rosa,Dourado,Prateado,Amarelo,Cinza,Branco,Multicolorido,Bege"</formula1>
    </dataValidation>
    <dataValidation type="list" allowBlank="1" showInputMessage="1" sqref="M5" xr:uid="{00000000-0002-0000-1000-000001000000}">
      <formula1>"dBA"</formula1>
    </dataValidation>
    <dataValidation type="list" allowBlank="1" showInputMessage="1" sqref="N5" xr:uid="{00000000-0002-0000-1000-000002000000}">
      <formula1>"Digite o código"</formula1>
    </dataValidation>
    <dataValidation type="list" allowBlank="1" showInputMessage="1" sqref="O5" xr:uid="{00000000-0002-0000-1000-000003000000}">
      <formula1>"Panasonic,Rainbow,Shop-Vac"</formula1>
    </dataValidation>
    <dataValidation type="list" allowBlank="1" showInputMessage="1" sqref="T5" xr:uid="{00000000-0002-0000-1000-000004000000}">
      <formula1>"L,gal,mL"</formula1>
    </dataValidation>
    <dataValidation type="list" allowBlank="1" showInputMessage="1" sqref="V5" xr:uid="{00000000-0002-0000-1000-000005000000}">
      <formula1>"Vertical,Trenó,De mão,Mochila,Tambor"</formula1>
    </dataValidation>
    <dataValidation type="list" allowBlank="1" showInputMessage="1" sqref="W5" xr:uid="{00000000-0002-0000-1000-000006000000}">
      <formula1>"Polidora,Lavadora,Sopradora"</formula1>
    </dataValidation>
    <dataValidation type="list" allowBlank="1" showInputMessage="1" sqref="X5" xr:uid="{00000000-0002-0000-1000-000007000000}">
      <formula1>"Sem saco,Saco permanente,Saco descartável"</formula1>
    </dataValidation>
    <dataValidation type="list" allowBlank="1" showInputMessage="1" sqref="Y5:AD5" xr:uid="{00000000-0002-0000-1000-000008000000}">
      <formula1>"Não,Sim"</formula1>
    </dataValidation>
    <dataValidation type="list" allowBlank="1" showInputMessage="1" sqref="AF5" xr:uid="{00000000-0002-0000-1000-00000E000000}">
      <formula1>"g,kg,lb,oz"</formula1>
    </dataValidation>
    <dataValidation type="list" allowBlank="1" showInputMessage="1" sqref="AH5" xr:uid="{00000000-0002-0000-1000-00000F000000}">
      <formula1>"m,s"</formula1>
    </dataValidation>
    <dataValidation type="list" allowBlank="1" showInputMessage="1" sqref="AJ5" xr:uid="{00000000-0002-0000-1000-000010000000}">
      <formula1>"atm,bar,kPa"</formula1>
    </dataValidation>
    <dataValidation type="list" allowBlank="1" showInputMessage="1" sqref="AK5" xr:uid="{00000000-0002-0000-1000-000011000000}">
      <formula1>"A,B,C,D,E,F,G,A+,A++,A+++"</formula1>
    </dataValidation>
  </dataValidations>
  <pageMargins left="0.7" right="0.7" top="0.75" bottom="0.75" header="0.3" footer="0.3"/>
  <ignoredErrors>
    <ignoredError sqref="A3:A10001 B3:B10001 C3:C10001 D3:D10001 E3:E10001 F3:F10001 G3:G10001 H3:H10001 I3:I10001 J3:J10001 K3:K10001 L3:L10001 M3:M10001 N3:N10001 O3:O10001 P3:P10001 Q3:Q10001 R3:R10001 S3:S10001 T3:T10001 U3:U10001 V3:V10001 W3:W10001 X3:X10001 Y3:Y10001 Z3:Z10001 AA3:AA10001 AB3:AB10001 AC3:AC10001 AD3:AD10001 AE3:AE10001 AF3:AF10001 AG3:AG10001 AH3:AH10001 AI3:AI10001 AJ3:AJ10001 AK3:AK1000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40EB-5EE7-4BF9-B3B1-E2C69D5D2A2A}">
  <dimension ref="A1:AG26"/>
  <sheetViews>
    <sheetView workbookViewId="0">
      <selection sqref="A1:XFD26"/>
    </sheetView>
  </sheetViews>
  <sheetFormatPr defaultRowHeight="12.45" x14ac:dyDescent="0.3"/>
  <sheetData>
    <row r="1" spans="1:33" ht="15" customHeight="1" x14ac:dyDescent="0.3">
      <c r="A1" s="105" t="s">
        <v>99</v>
      </c>
      <c r="B1" s="105" t="s">
        <v>99</v>
      </c>
      <c r="C1" s="105" t="s">
        <v>99</v>
      </c>
      <c r="D1" s="105" t="s">
        <v>99</v>
      </c>
      <c r="E1" s="105" t="s">
        <v>99</v>
      </c>
      <c r="F1" s="105" t="s">
        <v>99</v>
      </c>
      <c r="G1" s="105" t="s">
        <v>99</v>
      </c>
      <c r="H1" s="105" t="s">
        <v>99</v>
      </c>
      <c r="I1" s="105" t="s">
        <v>99</v>
      </c>
      <c r="J1" s="105" t="s">
        <v>910</v>
      </c>
      <c r="K1" s="105" t="s">
        <v>910</v>
      </c>
      <c r="L1" s="105" t="s">
        <v>99</v>
      </c>
      <c r="M1" s="105" t="s">
        <v>99</v>
      </c>
      <c r="N1" s="105" t="s">
        <v>99</v>
      </c>
      <c r="O1" s="105" t="s">
        <v>99</v>
      </c>
      <c r="P1" s="105" t="s">
        <v>99</v>
      </c>
      <c r="Q1" s="105" t="s">
        <v>99</v>
      </c>
      <c r="R1" s="105" t="s">
        <v>99</v>
      </c>
      <c r="S1" s="105" t="s">
        <v>99</v>
      </c>
      <c r="T1" s="105" t="s">
        <v>99</v>
      </c>
      <c r="U1" s="105" t="s">
        <v>99</v>
      </c>
      <c r="V1" s="105" t="s">
        <v>910</v>
      </c>
      <c r="W1" s="105" t="s">
        <v>99</v>
      </c>
      <c r="X1" s="105" t="s">
        <v>99</v>
      </c>
      <c r="Y1" s="105" t="s">
        <v>910</v>
      </c>
      <c r="Z1" s="105" t="s">
        <v>99</v>
      </c>
      <c r="AA1" s="105" t="s">
        <v>99</v>
      </c>
      <c r="AB1" s="105" t="s">
        <v>99</v>
      </c>
      <c r="AC1" s="105" t="s">
        <v>99</v>
      </c>
      <c r="AD1" s="105" t="s">
        <v>99</v>
      </c>
      <c r="AE1" s="105" t="s">
        <v>99</v>
      </c>
      <c r="AF1" s="105" t="s">
        <v>99</v>
      </c>
      <c r="AG1" s="105" t="s">
        <v>99</v>
      </c>
    </row>
    <row r="2" spans="1:33" ht="50.05" customHeight="1" x14ac:dyDescent="0.3">
      <c r="A2" s="106" t="s">
        <v>812</v>
      </c>
      <c r="B2" s="106" t="s">
        <v>813</v>
      </c>
      <c r="C2" s="106" t="s">
        <v>814</v>
      </c>
      <c r="D2" s="106"/>
      <c r="E2" s="107" t="s">
        <v>815</v>
      </c>
      <c r="F2" s="106" t="s">
        <v>818</v>
      </c>
      <c r="G2" s="106" t="s">
        <v>236</v>
      </c>
      <c r="H2" s="108">
        <v>8</v>
      </c>
      <c r="I2" s="106" t="s">
        <v>911</v>
      </c>
      <c r="J2" s="108">
        <v>150</v>
      </c>
      <c r="K2" s="108" t="s">
        <v>912</v>
      </c>
      <c r="L2" s="108"/>
      <c r="M2" s="108"/>
      <c r="N2" s="108"/>
      <c r="O2" s="108"/>
      <c r="P2" s="108"/>
      <c r="Q2" s="108"/>
      <c r="R2" s="108"/>
      <c r="S2" s="108"/>
      <c r="T2" s="108"/>
      <c r="U2" s="108"/>
      <c r="V2" s="108" t="s">
        <v>913</v>
      </c>
      <c r="W2" s="109" t="s">
        <v>914</v>
      </c>
      <c r="X2" s="108" t="s">
        <v>915</v>
      </c>
      <c r="Y2" s="108" t="s">
        <v>916</v>
      </c>
      <c r="Z2" s="108" t="s">
        <v>917</v>
      </c>
      <c r="AA2" s="106" t="str">
        <f ca="1">IF(INDIRECT("Z6")="Clássico","11.5%",IF(INDIRECT("Z6")="Premium","16.5%","-"))</f>
        <v>11.5%</v>
      </c>
      <c r="AB2" s="108" t="s">
        <v>918</v>
      </c>
      <c r="AC2" s="108" t="s">
        <v>919</v>
      </c>
      <c r="AD2" s="108">
        <v>1</v>
      </c>
      <c r="AE2" s="108" t="s">
        <v>920</v>
      </c>
      <c r="AF2" s="110" t="s">
        <v>921</v>
      </c>
      <c r="AG2" s="106" t="s">
        <v>35</v>
      </c>
    </row>
    <row r="3" spans="1:33" ht="50.05" customHeight="1" x14ac:dyDescent="0.3">
      <c r="A3" s="106" t="s">
        <v>692</v>
      </c>
      <c r="B3" s="106" t="s">
        <v>693</v>
      </c>
      <c r="C3" s="106" t="s">
        <v>694</v>
      </c>
      <c r="D3" s="106"/>
      <c r="E3" s="107" t="s">
        <v>695</v>
      </c>
      <c r="F3" s="106" t="s">
        <v>698</v>
      </c>
      <c r="G3" s="106" t="s">
        <v>699</v>
      </c>
      <c r="H3" s="106" t="s">
        <v>911</v>
      </c>
      <c r="I3" s="106" t="s">
        <v>347</v>
      </c>
      <c r="J3" s="108">
        <v>120</v>
      </c>
      <c r="K3" s="108" t="s">
        <v>912</v>
      </c>
      <c r="L3" s="108">
        <v>48.9</v>
      </c>
      <c r="M3" s="108">
        <v>2</v>
      </c>
      <c r="N3" s="108"/>
      <c r="O3" s="108"/>
      <c r="P3" s="108"/>
      <c r="Q3" s="108"/>
      <c r="R3" s="108"/>
      <c r="S3" s="108"/>
      <c r="T3" s="108"/>
      <c r="U3" s="108"/>
      <c r="V3" s="108" t="s">
        <v>913</v>
      </c>
      <c r="W3" s="109" t="s">
        <v>922</v>
      </c>
      <c r="X3" s="108" t="s">
        <v>915</v>
      </c>
      <c r="Y3" s="106" t="s">
        <v>916</v>
      </c>
      <c r="Z3" s="108" t="s">
        <v>917</v>
      </c>
      <c r="AA3" s="106" t="str">
        <f ca="1">IF(INDIRECT("Z7")="Clássico","11.5%",IF(INDIRECT("Z7")="Premium","16.5%","-"))</f>
        <v>11.5%</v>
      </c>
      <c r="AB3" s="108" t="s">
        <v>918</v>
      </c>
      <c r="AC3" s="108" t="s">
        <v>919</v>
      </c>
      <c r="AD3" s="108">
        <v>1</v>
      </c>
      <c r="AE3" s="108" t="s">
        <v>920</v>
      </c>
      <c r="AF3" s="106" t="s">
        <v>907</v>
      </c>
      <c r="AG3" s="106" t="s">
        <v>33</v>
      </c>
    </row>
    <row r="4" spans="1:33" ht="50.05" customHeight="1" x14ac:dyDescent="0.3">
      <c r="A4" s="106" t="s">
        <v>668</v>
      </c>
      <c r="B4" s="106" t="s">
        <v>680</v>
      </c>
      <c r="C4" s="106" t="s">
        <v>670</v>
      </c>
      <c r="D4" s="106"/>
      <c r="E4" s="107" t="s">
        <v>671</v>
      </c>
      <c r="F4" s="106" t="s">
        <v>681</v>
      </c>
      <c r="G4" s="106" t="s">
        <v>911</v>
      </c>
      <c r="H4" s="108">
        <v>280</v>
      </c>
      <c r="I4" s="106" t="s">
        <v>911</v>
      </c>
      <c r="J4" s="108">
        <v>44.9</v>
      </c>
      <c r="K4" s="108" t="s">
        <v>912</v>
      </c>
      <c r="L4" s="108"/>
      <c r="M4" s="108"/>
      <c r="N4" s="108"/>
      <c r="O4" s="108"/>
      <c r="P4" s="108"/>
      <c r="Q4" s="108"/>
      <c r="R4" s="108"/>
      <c r="S4" s="108"/>
      <c r="T4" s="108"/>
      <c r="U4" s="108"/>
      <c r="V4" s="106" t="s">
        <v>913</v>
      </c>
      <c r="W4" s="106" t="s">
        <v>99</v>
      </c>
      <c r="X4" s="108" t="s">
        <v>923</v>
      </c>
      <c r="Y4" s="108" t="s">
        <v>916</v>
      </c>
      <c r="Z4" s="108" t="s">
        <v>917</v>
      </c>
      <c r="AA4" s="106" t="str">
        <f ca="1">IF(INDIRECT("Z8")="Clássico","11.5%",IF(INDIRECT("Z8")="Premium","16.5%","-"))</f>
        <v>11.5%</v>
      </c>
      <c r="AB4" s="108" t="s">
        <v>918</v>
      </c>
      <c r="AC4" s="108" t="s">
        <v>919</v>
      </c>
      <c r="AD4" s="108">
        <v>3</v>
      </c>
      <c r="AE4" s="108" t="s">
        <v>920</v>
      </c>
      <c r="AF4" s="110" t="s">
        <v>921</v>
      </c>
      <c r="AG4" s="106" t="s">
        <v>32</v>
      </c>
    </row>
    <row r="5" spans="1:33" ht="50.05" customHeight="1" x14ac:dyDescent="0.3">
      <c r="A5" s="106" t="s">
        <v>402</v>
      </c>
      <c r="B5" s="106" t="s">
        <v>403</v>
      </c>
      <c r="C5" s="106" t="s">
        <v>404</v>
      </c>
      <c r="D5" s="106"/>
      <c r="E5" s="107" t="s">
        <v>383</v>
      </c>
      <c r="F5" s="106" t="s">
        <v>405</v>
      </c>
      <c r="G5" s="106" t="s">
        <v>911</v>
      </c>
      <c r="H5" s="106" t="s">
        <v>911</v>
      </c>
      <c r="I5" s="106" t="s">
        <v>924</v>
      </c>
      <c r="J5" s="108">
        <v>49.04</v>
      </c>
      <c r="K5" s="108" t="s">
        <v>912</v>
      </c>
      <c r="L5" s="108"/>
      <c r="M5" s="108"/>
      <c r="N5" s="108"/>
      <c r="O5" s="108"/>
      <c r="P5" s="108"/>
      <c r="Q5" s="108"/>
      <c r="R5" s="108"/>
      <c r="S5" s="108"/>
      <c r="T5" s="108"/>
      <c r="U5" s="108"/>
      <c r="V5" s="106" t="s">
        <v>913</v>
      </c>
      <c r="W5" s="106" t="s">
        <v>925</v>
      </c>
      <c r="X5" s="108" t="s">
        <v>923</v>
      </c>
      <c r="Y5" s="106" t="s">
        <v>916</v>
      </c>
      <c r="Z5" s="108" t="s">
        <v>917</v>
      </c>
      <c r="AA5" s="106" t="str">
        <f ca="1">IF(INDIRECT("Z9")="Clássico","11.5%",IF(INDIRECT("Z9")="Premium","16.5%","-"))</f>
        <v>11.5%</v>
      </c>
      <c r="AB5" s="108" t="s">
        <v>918</v>
      </c>
      <c r="AC5" s="108" t="s">
        <v>919</v>
      </c>
      <c r="AD5" s="108">
        <v>3</v>
      </c>
      <c r="AE5" s="108" t="s">
        <v>920</v>
      </c>
      <c r="AF5" s="106" t="s">
        <v>907</v>
      </c>
      <c r="AG5" s="106" t="s">
        <v>24</v>
      </c>
    </row>
    <row r="6" spans="1:33" ht="50.05" customHeight="1" x14ac:dyDescent="0.3">
      <c r="A6" s="106" t="s">
        <v>577</v>
      </c>
      <c r="B6" s="106" t="s">
        <v>578</v>
      </c>
      <c r="C6" s="106" t="s">
        <v>579</v>
      </c>
      <c r="D6" s="106"/>
      <c r="E6" s="107" t="s">
        <v>580</v>
      </c>
      <c r="F6" s="106" t="s">
        <v>581</v>
      </c>
      <c r="G6" s="106" t="s">
        <v>911</v>
      </c>
      <c r="H6" s="108">
        <v>1</v>
      </c>
      <c r="I6" s="106" t="s">
        <v>911</v>
      </c>
      <c r="J6" s="108">
        <v>518</v>
      </c>
      <c r="K6" s="108" t="s">
        <v>912</v>
      </c>
      <c r="L6" s="108"/>
      <c r="M6" s="108"/>
      <c r="N6" s="108"/>
      <c r="O6" s="108"/>
      <c r="P6" s="108"/>
      <c r="Q6" s="108"/>
      <c r="R6" s="108"/>
      <c r="S6" s="108"/>
      <c r="T6" s="108"/>
      <c r="U6" s="108"/>
      <c r="V6" s="106" t="s">
        <v>913</v>
      </c>
      <c r="W6" s="106" t="s">
        <v>926</v>
      </c>
      <c r="X6" s="108" t="s">
        <v>915</v>
      </c>
      <c r="Y6" s="108" t="s">
        <v>916</v>
      </c>
      <c r="Z6" s="108" t="s">
        <v>917</v>
      </c>
      <c r="AA6" s="106" t="str">
        <f ca="1">IF(INDIRECT("Z10")="Clássico","11%",IF(INDIRECT("Z10")="Premium","16%","-"))</f>
        <v>11%</v>
      </c>
      <c r="AB6" s="108" t="s">
        <v>918</v>
      </c>
      <c r="AC6" s="108" t="s">
        <v>919</v>
      </c>
      <c r="AD6" s="108">
        <v>30</v>
      </c>
      <c r="AE6" s="108" t="s">
        <v>927</v>
      </c>
      <c r="AF6" s="110" t="s">
        <v>921</v>
      </c>
      <c r="AG6" s="106" t="s">
        <v>29</v>
      </c>
    </row>
    <row r="7" spans="1:33" ht="50.05" customHeight="1" x14ac:dyDescent="0.3">
      <c r="A7" s="106" t="s">
        <v>434</v>
      </c>
      <c r="B7" s="106" t="s">
        <v>435</v>
      </c>
      <c r="C7" s="106" t="s">
        <v>436</v>
      </c>
      <c r="D7" s="106"/>
      <c r="E7" s="107" t="s">
        <v>437</v>
      </c>
      <c r="F7" s="106" t="s">
        <v>440</v>
      </c>
      <c r="G7" s="106" t="s">
        <v>928</v>
      </c>
      <c r="H7" s="106" t="s">
        <v>911</v>
      </c>
      <c r="I7" s="106" t="s">
        <v>929</v>
      </c>
      <c r="J7" s="108">
        <v>24.21</v>
      </c>
      <c r="K7" s="108" t="s">
        <v>912</v>
      </c>
      <c r="L7" s="108"/>
      <c r="M7" s="108"/>
      <c r="N7" s="108"/>
      <c r="O7" s="108"/>
      <c r="P7" s="108"/>
      <c r="Q7" s="108"/>
      <c r="R7" s="108"/>
      <c r="S7" s="108"/>
      <c r="T7" s="108"/>
      <c r="U7" s="108"/>
      <c r="V7" s="108" t="s">
        <v>913</v>
      </c>
      <c r="W7" s="109" t="s">
        <v>99</v>
      </c>
      <c r="X7" s="108" t="s">
        <v>923</v>
      </c>
      <c r="Y7" s="106" t="s">
        <v>916</v>
      </c>
      <c r="Z7" s="108" t="s">
        <v>917</v>
      </c>
      <c r="AA7" s="106" t="str">
        <f ca="1">IF(INDIRECT("Z11")="Clássico","11.5%",IF(INDIRECT("Z11")="Premium","16.5%","-"))</f>
        <v>11.5%</v>
      </c>
      <c r="AB7" s="108" t="s">
        <v>918</v>
      </c>
      <c r="AC7" s="108" t="s">
        <v>919</v>
      </c>
      <c r="AD7" s="108">
        <v>30</v>
      </c>
      <c r="AE7" s="108" t="s">
        <v>927</v>
      </c>
      <c r="AF7" s="106" t="s">
        <v>907</v>
      </c>
      <c r="AG7" s="106" t="s">
        <v>930</v>
      </c>
    </row>
    <row r="8" spans="1:33" ht="50.05" customHeight="1" x14ac:dyDescent="0.3">
      <c r="A8" s="106" t="s">
        <v>834</v>
      </c>
      <c r="B8" s="106" t="s">
        <v>835</v>
      </c>
      <c r="C8" s="106" t="s">
        <v>836</v>
      </c>
      <c r="D8" s="106"/>
      <c r="E8" s="107" t="s">
        <v>837</v>
      </c>
      <c r="F8" s="106" t="s">
        <v>840</v>
      </c>
      <c r="G8" s="106" t="s">
        <v>931</v>
      </c>
      <c r="H8" s="108">
        <v>141</v>
      </c>
      <c r="I8" s="106" t="s">
        <v>911</v>
      </c>
      <c r="J8" s="108">
        <v>64.900000000000006</v>
      </c>
      <c r="K8" s="108" t="s">
        <v>912</v>
      </c>
      <c r="L8" s="108"/>
      <c r="M8" s="108"/>
      <c r="N8" s="108"/>
      <c r="O8" s="108"/>
      <c r="P8" s="108"/>
      <c r="Q8" s="108"/>
      <c r="R8" s="108"/>
      <c r="S8" s="108"/>
      <c r="T8" s="108"/>
      <c r="U8" s="108"/>
      <c r="V8" s="108" t="s">
        <v>913</v>
      </c>
      <c r="W8" s="109" t="s">
        <v>932</v>
      </c>
      <c r="X8" s="108" t="s">
        <v>923</v>
      </c>
      <c r="Y8" s="108" t="s">
        <v>916</v>
      </c>
      <c r="Z8" s="108" t="s">
        <v>917</v>
      </c>
      <c r="AA8" s="106" t="str">
        <f ca="1">IF(INDIRECT("Z12")="Clássico","11.5%",IF(INDIRECT("Z12")="Premium","16.5%","-"))</f>
        <v>11.5%</v>
      </c>
      <c r="AB8" s="108" t="s">
        <v>918</v>
      </c>
      <c r="AC8" s="108" t="s">
        <v>919</v>
      </c>
      <c r="AD8" s="108">
        <v>1</v>
      </c>
      <c r="AE8" s="108" t="s">
        <v>920</v>
      </c>
      <c r="AF8" s="110" t="s">
        <v>921</v>
      </c>
      <c r="AG8" s="106" t="s">
        <v>933</v>
      </c>
    </row>
    <row r="9" spans="1:33" ht="50.05" customHeight="1" x14ac:dyDescent="0.3">
      <c r="A9" s="106" t="s">
        <v>494</v>
      </c>
      <c r="B9" s="106" t="s">
        <v>508</v>
      </c>
      <c r="C9" s="106" t="s">
        <v>496</v>
      </c>
      <c r="D9" s="106"/>
      <c r="E9" s="107" t="s">
        <v>497</v>
      </c>
      <c r="F9" s="106" t="s">
        <v>509</v>
      </c>
      <c r="G9" s="106" t="s">
        <v>911</v>
      </c>
      <c r="H9" s="108">
        <v>6</v>
      </c>
      <c r="I9" s="106" t="s">
        <v>911</v>
      </c>
      <c r="J9" s="108">
        <v>136</v>
      </c>
      <c r="K9" s="108" t="s">
        <v>912</v>
      </c>
      <c r="L9" s="108"/>
      <c r="M9" s="108"/>
      <c r="N9" s="108"/>
      <c r="O9" s="108"/>
      <c r="P9" s="108"/>
      <c r="Q9" s="108"/>
      <c r="R9" s="108"/>
      <c r="S9" s="108"/>
      <c r="T9" s="108"/>
      <c r="U9" s="108"/>
      <c r="V9" s="106" t="s">
        <v>913</v>
      </c>
      <c r="W9" s="106" t="s">
        <v>934</v>
      </c>
      <c r="X9" s="108" t="s">
        <v>915</v>
      </c>
      <c r="Y9" s="108" t="s">
        <v>916</v>
      </c>
      <c r="Z9" s="108" t="s">
        <v>917</v>
      </c>
      <c r="AA9" s="106" t="str">
        <f ca="1">IF(INDIRECT("Z13")="Clássico","11%",IF(INDIRECT("Z13")="Premium","16%","-"))</f>
        <v>11%</v>
      </c>
      <c r="AB9" s="108" t="s">
        <v>918</v>
      </c>
      <c r="AC9" s="108" t="s">
        <v>919</v>
      </c>
      <c r="AD9" s="108">
        <v>30</v>
      </c>
      <c r="AE9" s="108" t="s">
        <v>927</v>
      </c>
      <c r="AF9" s="110" t="s">
        <v>921</v>
      </c>
      <c r="AG9" s="106" t="s">
        <v>935</v>
      </c>
    </row>
    <row r="10" spans="1:33" ht="50.05" customHeight="1" x14ac:dyDescent="0.3">
      <c r="A10" s="106" t="s">
        <v>848</v>
      </c>
      <c r="B10" s="106" t="s">
        <v>849</v>
      </c>
      <c r="C10" s="106" t="s">
        <v>850</v>
      </c>
      <c r="D10" s="106"/>
      <c r="E10" s="107" t="s">
        <v>851</v>
      </c>
      <c r="F10" s="107" t="s">
        <v>854</v>
      </c>
      <c r="G10" s="106" t="s">
        <v>936</v>
      </c>
      <c r="H10" s="108">
        <v>1</v>
      </c>
      <c r="I10" s="106" t="s">
        <v>911</v>
      </c>
      <c r="J10" s="108">
        <v>69.900000000000006</v>
      </c>
      <c r="K10" s="108" t="s">
        <v>912</v>
      </c>
      <c r="L10" s="108"/>
      <c r="M10" s="108"/>
      <c r="N10" s="108"/>
      <c r="O10" s="108"/>
      <c r="P10" s="108"/>
      <c r="Q10" s="108"/>
      <c r="R10" s="108"/>
      <c r="S10" s="108"/>
      <c r="T10" s="108"/>
      <c r="U10" s="108"/>
      <c r="V10" s="108" t="s">
        <v>913</v>
      </c>
      <c r="W10" s="109" t="s">
        <v>937</v>
      </c>
      <c r="X10" s="108" t="s">
        <v>923</v>
      </c>
      <c r="Y10" s="108" t="s">
        <v>916</v>
      </c>
      <c r="Z10" s="108" t="s">
        <v>917</v>
      </c>
      <c r="AA10" s="106" t="str">
        <f ca="1">IF(INDIRECT("Z14")="Clássico","12.5%",IF(INDIRECT("Z14")="Premium","17.5%","-"))</f>
        <v>12.5%</v>
      </c>
      <c r="AB10" s="108" t="s">
        <v>918</v>
      </c>
      <c r="AC10" s="108" t="s">
        <v>919</v>
      </c>
      <c r="AD10" s="108">
        <v>1</v>
      </c>
      <c r="AE10" s="108" t="s">
        <v>920</v>
      </c>
      <c r="AF10" s="110" t="s">
        <v>921</v>
      </c>
      <c r="AG10" s="106" t="s">
        <v>37</v>
      </c>
    </row>
    <row r="11" spans="1:33" ht="50.05" customHeight="1" x14ac:dyDescent="0.3">
      <c r="A11" s="106" t="s">
        <v>631</v>
      </c>
      <c r="B11" s="106" t="s">
        <v>632</v>
      </c>
      <c r="C11" s="106" t="s">
        <v>633</v>
      </c>
      <c r="D11" s="106"/>
      <c r="E11" s="107" t="s">
        <v>634</v>
      </c>
      <c r="F11" s="106" t="s">
        <v>637</v>
      </c>
      <c r="G11" s="106" t="s">
        <v>911</v>
      </c>
      <c r="H11" s="106" t="s">
        <v>911</v>
      </c>
      <c r="I11" s="106" t="s">
        <v>938</v>
      </c>
      <c r="J11" s="108">
        <v>38.01</v>
      </c>
      <c r="K11" s="108" t="s">
        <v>912</v>
      </c>
      <c r="L11" s="108"/>
      <c r="M11" s="108"/>
      <c r="N11" s="108"/>
      <c r="O11" s="108"/>
      <c r="P11" s="108"/>
      <c r="Q11" s="108"/>
      <c r="R11" s="108"/>
      <c r="S11" s="108"/>
      <c r="T11" s="108"/>
      <c r="U11" s="108"/>
      <c r="V11" s="106" t="s">
        <v>913</v>
      </c>
      <c r="W11" s="106" t="s">
        <v>939</v>
      </c>
      <c r="X11" s="108" t="s">
        <v>923</v>
      </c>
      <c r="Y11" s="106" t="s">
        <v>916</v>
      </c>
      <c r="Z11" s="108" t="s">
        <v>917</v>
      </c>
      <c r="AA11" s="106" t="str">
        <f ca="1">IF(INDIRECT("Z15")="Clássico","11.5%",IF(INDIRECT("Z15")="Premium","16.5%","-"))</f>
        <v>11.5%</v>
      </c>
      <c r="AB11" s="108" t="s">
        <v>918</v>
      </c>
      <c r="AC11" s="108" t="s">
        <v>919</v>
      </c>
      <c r="AD11" s="108">
        <v>3</v>
      </c>
      <c r="AE11" s="108" t="s">
        <v>920</v>
      </c>
      <c r="AF11" s="106" t="s">
        <v>907</v>
      </c>
      <c r="AG11" s="106" t="s">
        <v>30</v>
      </c>
    </row>
    <row r="12" spans="1:33" ht="50.05" customHeight="1" x14ac:dyDescent="0.3">
      <c r="A12" s="106" t="s">
        <v>453</v>
      </c>
      <c r="B12" s="106" t="s">
        <v>454</v>
      </c>
      <c r="C12" s="106" t="s">
        <v>455</v>
      </c>
      <c r="D12" s="106"/>
      <c r="E12" s="107" t="s">
        <v>456</v>
      </c>
      <c r="F12" s="106" t="s">
        <v>457</v>
      </c>
      <c r="G12" s="106" t="s">
        <v>911</v>
      </c>
      <c r="H12" s="106" t="s">
        <v>911</v>
      </c>
      <c r="I12" s="106" t="s">
        <v>940</v>
      </c>
      <c r="J12" s="108">
        <v>35.56</v>
      </c>
      <c r="K12" s="108" t="s">
        <v>912</v>
      </c>
      <c r="L12" s="108"/>
      <c r="M12" s="108"/>
      <c r="N12" s="108"/>
      <c r="O12" s="108"/>
      <c r="P12" s="108"/>
      <c r="Q12" s="108"/>
      <c r="R12" s="108"/>
      <c r="S12" s="108"/>
      <c r="T12" s="108"/>
      <c r="U12" s="108"/>
      <c r="V12" s="106" t="s">
        <v>913</v>
      </c>
      <c r="W12" s="106" t="s">
        <v>941</v>
      </c>
      <c r="X12" s="108" t="s">
        <v>923</v>
      </c>
      <c r="Y12" s="106" t="s">
        <v>916</v>
      </c>
      <c r="Z12" s="108" t="s">
        <v>917</v>
      </c>
      <c r="AA12" s="106" t="str">
        <f ca="1">IF(INDIRECT("Z16")="Clássico","11.5%",IF(INDIRECT("Z16")="Premium","16.5%","-"))</f>
        <v>11.5%</v>
      </c>
      <c r="AB12" s="108" t="s">
        <v>918</v>
      </c>
      <c r="AC12" s="108" t="s">
        <v>919</v>
      </c>
      <c r="AD12" s="108">
        <v>3</v>
      </c>
      <c r="AE12" s="108" t="s">
        <v>920</v>
      </c>
      <c r="AF12" s="106" t="s">
        <v>907</v>
      </c>
      <c r="AG12" s="106" t="s">
        <v>930</v>
      </c>
    </row>
    <row r="13" spans="1:33" ht="50.05" customHeight="1" x14ac:dyDescent="0.3">
      <c r="A13" s="106" t="s">
        <v>93</v>
      </c>
      <c r="B13" s="106" t="s">
        <v>94</v>
      </c>
      <c r="C13" s="106" t="s">
        <v>95</v>
      </c>
      <c r="D13" s="106"/>
      <c r="E13" s="107" t="s">
        <v>96</v>
      </c>
      <c r="F13" s="107" t="s">
        <v>100</v>
      </c>
      <c r="G13" s="106" t="s">
        <v>942</v>
      </c>
      <c r="H13" s="108">
        <v>1</v>
      </c>
      <c r="I13" s="106" t="s">
        <v>911</v>
      </c>
      <c r="J13" s="108">
        <v>78.900000000000006</v>
      </c>
      <c r="K13" s="108" t="s">
        <v>912</v>
      </c>
      <c r="L13" s="108"/>
      <c r="M13" s="108"/>
      <c r="N13" s="108"/>
      <c r="O13" s="108"/>
      <c r="P13" s="108"/>
      <c r="Q13" s="108"/>
      <c r="R13" s="108"/>
      <c r="S13" s="108"/>
      <c r="T13" s="108"/>
      <c r="U13" s="108"/>
      <c r="V13" s="108" t="s">
        <v>913</v>
      </c>
      <c r="W13" s="109" t="s">
        <v>943</v>
      </c>
      <c r="X13" s="108" t="s">
        <v>923</v>
      </c>
      <c r="Y13" s="108" t="s">
        <v>916</v>
      </c>
      <c r="Z13" s="108" t="s">
        <v>917</v>
      </c>
      <c r="AA13" s="106" t="str">
        <f ca="1">IF(INDIRECT("Z17")="Clássico","14%",IF(INDIRECT("Z17")="Premium","19%","-"))</f>
        <v>14%</v>
      </c>
      <c r="AB13" s="108" t="s">
        <v>918</v>
      </c>
      <c r="AC13" s="108" t="s">
        <v>919</v>
      </c>
      <c r="AD13" s="108">
        <v>1</v>
      </c>
      <c r="AE13" s="108" t="s">
        <v>920</v>
      </c>
      <c r="AF13" s="110" t="s">
        <v>921</v>
      </c>
      <c r="AG13" s="106" t="s">
        <v>21</v>
      </c>
    </row>
    <row r="14" spans="1:33" ht="50.05" customHeight="1" x14ac:dyDescent="0.3">
      <c r="A14" s="106" t="s">
        <v>668</v>
      </c>
      <c r="B14" s="106" t="s">
        <v>669</v>
      </c>
      <c r="C14" s="106" t="s">
        <v>670</v>
      </c>
      <c r="D14" s="106"/>
      <c r="E14" s="107" t="s">
        <v>671</v>
      </c>
      <c r="F14" s="106" t="s">
        <v>674</v>
      </c>
      <c r="G14" s="106" t="s">
        <v>675</v>
      </c>
      <c r="H14" s="108">
        <v>280</v>
      </c>
      <c r="I14" s="106" t="s">
        <v>911</v>
      </c>
      <c r="J14" s="108">
        <v>44.9</v>
      </c>
      <c r="K14" s="108" t="s">
        <v>912</v>
      </c>
      <c r="L14" s="108"/>
      <c r="M14" s="108"/>
      <c r="N14" s="108"/>
      <c r="O14" s="108"/>
      <c r="P14" s="108"/>
      <c r="Q14" s="108"/>
      <c r="R14" s="108"/>
      <c r="S14" s="108"/>
      <c r="T14" s="108"/>
      <c r="U14" s="108"/>
      <c r="V14" s="108" t="s">
        <v>913</v>
      </c>
      <c r="W14" s="109" t="s">
        <v>944</v>
      </c>
      <c r="X14" s="108" t="s">
        <v>923</v>
      </c>
      <c r="Y14" s="108" t="s">
        <v>916</v>
      </c>
      <c r="Z14" s="108" t="s">
        <v>917</v>
      </c>
      <c r="AA14" s="106" t="str">
        <f ca="1">IF(INDIRECT("Z18")="Clássico","11.5%",IF(INDIRECT("Z18")="Premium","16.5%","-"))</f>
        <v>11.5%</v>
      </c>
      <c r="AB14" s="108" t="s">
        <v>918</v>
      </c>
      <c r="AC14" s="108" t="s">
        <v>919</v>
      </c>
      <c r="AD14" s="108">
        <v>3</v>
      </c>
      <c r="AE14" s="108" t="s">
        <v>920</v>
      </c>
      <c r="AF14" s="110" t="s">
        <v>921</v>
      </c>
      <c r="AG14" s="106" t="s">
        <v>32</v>
      </c>
    </row>
    <row r="15" spans="1:33" ht="50.05" customHeight="1" x14ac:dyDescent="0.3">
      <c r="A15" s="106" t="s">
        <v>897</v>
      </c>
      <c r="B15" s="106" t="s">
        <v>898</v>
      </c>
      <c r="C15" s="106" t="s">
        <v>899</v>
      </c>
      <c r="D15" s="106"/>
      <c r="E15" s="107" t="s">
        <v>900</v>
      </c>
      <c r="F15" s="106" t="s">
        <v>903</v>
      </c>
      <c r="G15" s="106" t="s">
        <v>945</v>
      </c>
      <c r="H15" s="108">
        <v>3</v>
      </c>
      <c r="I15" s="106" t="s">
        <v>911</v>
      </c>
      <c r="J15" s="108">
        <v>39.99</v>
      </c>
      <c r="K15" s="108" t="s">
        <v>912</v>
      </c>
      <c r="L15" s="108"/>
      <c r="M15" s="108"/>
      <c r="N15" s="108"/>
      <c r="O15" s="108"/>
      <c r="P15" s="108"/>
      <c r="Q15" s="108"/>
      <c r="R15" s="108"/>
      <c r="S15" s="108"/>
      <c r="T15" s="108"/>
      <c r="U15" s="108"/>
      <c r="V15" s="108" t="s">
        <v>913</v>
      </c>
      <c r="W15" s="109" t="s">
        <v>946</v>
      </c>
      <c r="X15" s="108" t="s">
        <v>923</v>
      </c>
      <c r="Y15" s="108" t="s">
        <v>916</v>
      </c>
      <c r="Z15" s="108" t="s">
        <v>917</v>
      </c>
      <c r="AA15" s="106" t="str">
        <f ca="1">IF(INDIRECT("Z19")="Clássico","11%",IF(INDIRECT("Z19")="Premium","16%","-"))</f>
        <v>11%</v>
      </c>
      <c r="AB15" s="108" t="s">
        <v>918</v>
      </c>
      <c r="AC15" s="108" t="s">
        <v>919</v>
      </c>
      <c r="AD15" s="108">
        <v>1</v>
      </c>
      <c r="AE15" s="108" t="s">
        <v>920</v>
      </c>
      <c r="AF15" s="110" t="s">
        <v>921</v>
      </c>
      <c r="AG15" s="106" t="s">
        <v>947</v>
      </c>
    </row>
    <row r="16" spans="1:33" ht="50.05" customHeight="1" x14ac:dyDescent="0.3">
      <c r="A16" s="106" t="s">
        <v>228</v>
      </c>
      <c r="B16" s="106" t="s">
        <v>229</v>
      </c>
      <c r="C16" s="106" t="s">
        <v>230</v>
      </c>
      <c r="D16" s="106"/>
      <c r="E16" s="107" t="s">
        <v>231</v>
      </c>
      <c r="F16" s="106" t="s">
        <v>234</v>
      </c>
      <c r="G16" s="106" t="s">
        <v>235</v>
      </c>
      <c r="H16" s="108">
        <v>9</v>
      </c>
      <c r="I16" s="106" t="s">
        <v>911</v>
      </c>
      <c r="J16" s="108">
        <v>59.9</v>
      </c>
      <c r="K16" s="108" t="s">
        <v>912</v>
      </c>
      <c r="L16" s="108"/>
      <c r="M16" s="108"/>
      <c r="N16" s="108"/>
      <c r="O16" s="108"/>
      <c r="P16" s="108"/>
      <c r="Q16" s="108"/>
      <c r="R16" s="108"/>
      <c r="S16" s="108"/>
      <c r="T16" s="108"/>
      <c r="U16" s="108"/>
      <c r="V16" s="108" t="s">
        <v>913</v>
      </c>
      <c r="W16" s="109" t="s">
        <v>948</v>
      </c>
      <c r="X16" s="108" t="s">
        <v>923</v>
      </c>
      <c r="Y16" s="108" t="s">
        <v>916</v>
      </c>
      <c r="Z16" s="108" t="s">
        <v>917</v>
      </c>
      <c r="AA16" s="106" t="str">
        <f ca="1">IF(INDIRECT("Z20")="Clássico","11.5%",IF(INDIRECT("Z20")="Premium","16.5%","-"))</f>
        <v>11.5%</v>
      </c>
      <c r="AB16" s="108" t="s">
        <v>918</v>
      </c>
      <c r="AC16" s="108" t="s">
        <v>919</v>
      </c>
      <c r="AD16" s="108">
        <v>1</v>
      </c>
      <c r="AE16" s="108" t="s">
        <v>920</v>
      </c>
      <c r="AF16" s="110" t="s">
        <v>921</v>
      </c>
      <c r="AG16" s="106" t="s">
        <v>949</v>
      </c>
    </row>
    <row r="17" spans="1:33" ht="50.05" customHeight="1" x14ac:dyDescent="0.3">
      <c r="A17" s="106" t="s">
        <v>654</v>
      </c>
      <c r="B17" s="106" t="s">
        <v>655</v>
      </c>
      <c r="C17" s="106" t="s">
        <v>656</v>
      </c>
      <c r="D17" s="106"/>
      <c r="E17" s="107" t="s">
        <v>657</v>
      </c>
      <c r="F17" s="106" t="s">
        <v>660</v>
      </c>
      <c r="G17" s="106" t="s">
        <v>950</v>
      </c>
      <c r="H17" s="106" t="s">
        <v>911</v>
      </c>
      <c r="I17" s="106" t="s">
        <v>951</v>
      </c>
      <c r="J17" s="108">
        <v>150</v>
      </c>
      <c r="K17" s="108" t="s">
        <v>912</v>
      </c>
      <c r="L17" s="108"/>
      <c r="M17" s="108"/>
      <c r="N17" s="108"/>
      <c r="O17" s="108"/>
      <c r="P17" s="108"/>
      <c r="Q17" s="108"/>
      <c r="R17" s="108"/>
      <c r="S17" s="108"/>
      <c r="T17" s="108"/>
      <c r="U17" s="108"/>
      <c r="V17" s="108" t="s">
        <v>913</v>
      </c>
      <c r="W17" s="109" t="s">
        <v>952</v>
      </c>
      <c r="X17" s="108" t="s">
        <v>915</v>
      </c>
      <c r="Y17" s="106" t="s">
        <v>916</v>
      </c>
      <c r="Z17" s="108" t="s">
        <v>917</v>
      </c>
      <c r="AA17" s="106" t="str">
        <f ca="1">IF(INDIRECT("Z21")="Clássico","11%",IF(INDIRECT("Z21")="Premium","16%","-"))</f>
        <v>11%</v>
      </c>
      <c r="AB17" s="108" t="s">
        <v>918</v>
      </c>
      <c r="AC17" s="108" t="s">
        <v>919</v>
      </c>
      <c r="AD17" s="108">
        <v>30</v>
      </c>
      <c r="AE17" s="108" t="s">
        <v>927</v>
      </c>
      <c r="AF17" s="106" t="s">
        <v>907</v>
      </c>
      <c r="AG17" s="106" t="s">
        <v>953</v>
      </c>
    </row>
    <row r="18" spans="1:33" ht="50.05" customHeight="1" x14ac:dyDescent="0.3">
      <c r="A18" s="106" t="s">
        <v>380</v>
      </c>
      <c r="B18" s="106" t="s">
        <v>381</v>
      </c>
      <c r="C18" s="106" t="s">
        <v>382</v>
      </c>
      <c r="D18" s="106"/>
      <c r="E18" s="107" t="s">
        <v>383</v>
      </c>
      <c r="F18" s="106" t="s">
        <v>386</v>
      </c>
      <c r="G18" s="106" t="s">
        <v>911</v>
      </c>
      <c r="H18" s="106" t="s">
        <v>911</v>
      </c>
      <c r="I18" s="106" t="s">
        <v>954</v>
      </c>
      <c r="J18" s="108">
        <v>51.24</v>
      </c>
      <c r="K18" s="108" t="s">
        <v>912</v>
      </c>
      <c r="L18" s="108"/>
      <c r="M18" s="108"/>
      <c r="N18" s="108"/>
      <c r="O18" s="108"/>
      <c r="P18" s="108"/>
      <c r="Q18" s="108"/>
      <c r="R18" s="108"/>
      <c r="S18" s="108"/>
      <c r="T18" s="108"/>
      <c r="U18" s="108"/>
      <c r="V18" s="106" t="s">
        <v>913</v>
      </c>
      <c r="W18" s="106" t="s">
        <v>955</v>
      </c>
      <c r="X18" s="108" t="s">
        <v>923</v>
      </c>
      <c r="Y18" s="106" t="s">
        <v>916</v>
      </c>
      <c r="Z18" s="108" t="s">
        <v>917</v>
      </c>
      <c r="AA18" s="106" t="str">
        <f ca="1">IF(INDIRECT("Z22")="Clássico","11.5%",IF(INDIRECT("Z22")="Premium","16.5%","-"))</f>
        <v>11.5%</v>
      </c>
      <c r="AB18" s="108" t="s">
        <v>918</v>
      </c>
      <c r="AC18" s="108" t="s">
        <v>919</v>
      </c>
      <c r="AD18" s="108">
        <v>3</v>
      </c>
      <c r="AE18" s="108" t="s">
        <v>920</v>
      </c>
      <c r="AF18" s="106" t="s">
        <v>907</v>
      </c>
      <c r="AG18" s="106" t="s">
        <v>24</v>
      </c>
    </row>
    <row r="19" spans="1:33" ht="50.05" customHeight="1" x14ac:dyDescent="0.3">
      <c r="A19" s="106" t="s">
        <v>189</v>
      </c>
      <c r="B19" s="106" t="s">
        <v>190</v>
      </c>
      <c r="C19" s="106" t="s">
        <v>191</v>
      </c>
      <c r="D19" s="106"/>
      <c r="E19" s="107" t="s">
        <v>192</v>
      </c>
      <c r="F19" s="106" t="s">
        <v>193</v>
      </c>
      <c r="G19" s="106" t="s">
        <v>956</v>
      </c>
      <c r="H19" s="108">
        <v>7</v>
      </c>
      <c r="I19" s="106" t="s">
        <v>911</v>
      </c>
      <c r="J19" s="108">
        <v>78.900000000000006</v>
      </c>
      <c r="K19" s="108" t="s">
        <v>912</v>
      </c>
      <c r="L19" s="108"/>
      <c r="M19" s="108"/>
      <c r="N19" s="108"/>
      <c r="O19" s="108"/>
      <c r="P19" s="108"/>
      <c r="Q19" s="108"/>
      <c r="R19" s="108"/>
      <c r="S19" s="108"/>
      <c r="T19" s="108"/>
      <c r="U19" s="108"/>
      <c r="V19" s="108" t="s">
        <v>913</v>
      </c>
      <c r="W19" s="109" t="s">
        <v>957</v>
      </c>
      <c r="X19" s="108" t="s">
        <v>923</v>
      </c>
      <c r="Y19" s="108" t="s">
        <v>916</v>
      </c>
      <c r="Z19" s="108" t="s">
        <v>917</v>
      </c>
      <c r="AA19" s="106" t="str">
        <f ca="1">IF(INDIRECT("Z23")="Clássico","14%",IF(INDIRECT("Z23")="Premium","19%","-"))</f>
        <v>14%</v>
      </c>
      <c r="AB19" s="108" t="s">
        <v>918</v>
      </c>
      <c r="AC19" s="108" t="s">
        <v>919</v>
      </c>
      <c r="AD19" s="108">
        <v>1</v>
      </c>
      <c r="AE19" s="108" t="s">
        <v>920</v>
      </c>
      <c r="AF19" s="110" t="s">
        <v>921</v>
      </c>
      <c r="AG19" s="106" t="s">
        <v>21</v>
      </c>
    </row>
    <row r="20" spans="1:33" ht="50.05" customHeight="1" x14ac:dyDescent="0.3">
      <c r="A20" s="106" t="s">
        <v>543</v>
      </c>
      <c r="B20" s="106" t="s">
        <v>574</v>
      </c>
      <c r="C20" s="106" t="s">
        <v>575</v>
      </c>
      <c r="D20" s="106"/>
      <c r="E20" s="107" t="s">
        <v>576</v>
      </c>
      <c r="F20" s="106" t="s">
        <v>549</v>
      </c>
      <c r="G20" s="106" t="s">
        <v>958</v>
      </c>
      <c r="H20" s="108">
        <v>7</v>
      </c>
      <c r="I20" s="106" t="s">
        <v>911</v>
      </c>
      <c r="J20" s="108">
        <v>259.89999999999998</v>
      </c>
      <c r="K20" s="108" t="s">
        <v>912</v>
      </c>
      <c r="L20" s="108"/>
      <c r="M20" s="108"/>
      <c r="N20" s="108"/>
      <c r="O20" s="108"/>
      <c r="P20" s="108"/>
      <c r="Q20" s="108"/>
      <c r="R20" s="108"/>
      <c r="S20" s="108"/>
      <c r="T20" s="108"/>
      <c r="U20" s="108"/>
      <c r="V20" s="108" t="s">
        <v>913</v>
      </c>
      <c r="W20" s="109" t="s">
        <v>99</v>
      </c>
      <c r="X20" s="108" t="s">
        <v>915</v>
      </c>
      <c r="Y20" s="108" t="s">
        <v>916</v>
      </c>
      <c r="Z20" s="108" t="s">
        <v>917</v>
      </c>
      <c r="AA20" s="106" t="str">
        <f ca="1">IF(INDIRECT("Z24")="Clássico","11%",IF(INDIRECT("Z24")="Premium","16%","-"))</f>
        <v>11%</v>
      </c>
      <c r="AB20" s="108" t="s">
        <v>918</v>
      </c>
      <c r="AC20" s="108" t="s">
        <v>919</v>
      </c>
      <c r="AD20" s="108">
        <v>30</v>
      </c>
      <c r="AE20" s="108" t="s">
        <v>927</v>
      </c>
      <c r="AF20" s="110" t="s">
        <v>921</v>
      </c>
      <c r="AG20" s="106" t="s">
        <v>29</v>
      </c>
    </row>
    <row r="21" spans="1:33" ht="50.05" customHeight="1" x14ac:dyDescent="0.3">
      <c r="A21" s="106" t="s">
        <v>577</v>
      </c>
      <c r="B21" s="106" t="s">
        <v>590</v>
      </c>
      <c r="C21" s="106" t="s">
        <v>579</v>
      </c>
      <c r="D21" s="106"/>
      <c r="E21" s="107" t="s">
        <v>580</v>
      </c>
      <c r="F21" s="107" t="s">
        <v>591</v>
      </c>
      <c r="G21" s="106" t="s">
        <v>959</v>
      </c>
      <c r="H21" s="108">
        <v>1</v>
      </c>
      <c r="I21" s="106" t="s">
        <v>911</v>
      </c>
      <c r="J21" s="108">
        <v>518</v>
      </c>
      <c r="K21" s="108" t="s">
        <v>912</v>
      </c>
      <c r="L21" s="108"/>
      <c r="M21" s="108"/>
      <c r="N21" s="108"/>
      <c r="O21" s="108"/>
      <c r="P21" s="108"/>
      <c r="Q21" s="108"/>
      <c r="R21" s="108"/>
      <c r="S21" s="108"/>
      <c r="T21" s="108"/>
      <c r="U21" s="108"/>
      <c r="V21" s="108" t="s">
        <v>913</v>
      </c>
      <c r="W21" s="109" t="s">
        <v>99</v>
      </c>
      <c r="X21" s="108" t="s">
        <v>915</v>
      </c>
      <c r="Y21" s="108" t="s">
        <v>916</v>
      </c>
      <c r="Z21" s="108" t="s">
        <v>917</v>
      </c>
      <c r="AA21" s="106" t="str">
        <f ca="1">IF(INDIRECT("Z25")="Clássico","11%",IF(INDIRECT("Z25")="Premium","16%","-"))</f>
        <v>11%</v>
      </c>
      <c r="AB21" s="108" t="s">
        <v>918</v>
      </c>
      <c r="AC21" s="108" t="s">
        <v>919</v>
      </c>
      <c r="AD21" s="108">
        <v>30</v>
      </c>
      <c r="AE21" s="108" t="s">
        <v>927</v>
      </c>
      <c r="AF21" s="110" t="s">
        <v>921</v>
      </c>
      <c r="AG21" s="106" t="s">
        <v>29</v>
      </c>
    </row>
    <row r="22" spans="1:33" ht="50.05" customHeight="1" x14ac:dyDescent="0.3">
      <c r="A22" s="106" t="s">
        <v>434</v>
      </c>
      <c r="B22" s="106" t="s">
        <v>465</v>
      </c>
      <c r="C22" s="106" t="s">
        <v>436</v>
      </c>
      <c r="D22" s="106"/>
      <c r="E22" s="107" t="s">
        <v>437</v>
      </c>
      <c r="F22" s="106" t="s">
        <v>466</v>
      </c>
      <c r="G22" s="106" t="s">
        <v>911</v>
      </c>
      <c r="H22" s="106" t="s">
        <v>911</v>
      </c>
      <c r="I22" s="106" t="s">
        <v>929</v>
      </c>
      <c r="J22" s="108">
        <v>24.21</v>
      </c>
      <c r="K22" s="108" t="s">
        <v>912</v>
      </c>
      <c r="L22" s="108"/>
      <c r="M22" s="108"/>
      <c r="N22" s="108"/>
      <c r="O22" s="108"/>
      <c r="P22" s="108"/>
      <c r="Q22" s="108"/>
      <c r="R22" s="108"/>
      <c r="S22" s="108"/>
      <c r="T22" s="108"/>
      <c r="U22" s="108"/>
      <c r="V22" s="106" t="s">
        <v>913</v>
      </c>
      <c r="W22" s="106" t="s">
        <v>960</v>
      </c>
      <c r="X22" s="108" t="s">
        <v>923</v>
      </c>
      <c r="Y22" s="106" t="s">
        <v>916</v>
      </c>
      <c r="Z22" s="108" t="s">
        <v>917</v>
      </c>
      <c r="AA22" s="106" t="str">
        <f ca="1">IF(INDIRECT("Z26")="Clássico","11.5%",IF(INDIRECT("Z26")="Premium","16.5%","-"))</f>
        <v>11.5%</v>
      </c>
      <c r="AB22" s="108" t="s">
        <v>918</v>
      </c>
      <c r="AC22" s="108" t="s">
        <v>919</v>
      </c>
      <c r="AD22" s="108">
        <v>30</v>
      </c>
      <c r="AE22" s="108" t="s">
        <v>927</v>
      </c>
      <c r="AF22" s="106" t="s">
        <v>907</v>
      </c>
      <c r="AG22" s="106" t="s">
        <v>930</v>
      </c>
    </row>
    <row r="23" spans="1:33" ht="50.05" customHeight="1" x14ac:dyDescent="0.3">
      <c r="A23" s="106" t="s">
        <v>722</v>
      </c>
      <c r="B23" s="106" t="s">
        <v>790</v>
      </c>
      <c r="C23" s="106" t="s">
        <v>791</v>
      </c>
      <c r="D23" s="106"/>
      <c r="E23" s="107" t="s">
        <v>792</v>
      </c>
      <c r="F23" s="107" t="s">
        <v>728</v>
      </c>
      <c r="G23" s="106" t="s">
        <v>961</v>
      </c>
      <c r="H23" s="108">
        <v>1</v>
      </c>
      <c r="I23" s="106" t="s">
        <v>911</v>
      </c>
      <c r="J23" s="108">
        <v>78.900000000000006</v>
      </c>
      <c r="K23" s="108" t="s">
        <v>912</v>
      </c>
      <c r="L23" s="108"/>
      <c r="M23" s="108"/>
      <c r="N23" s="108"/>
      <c r="O23" s="108"/>
      <c r="P23" s="108"/>
      <c r="Q23" s="108"/>
      <c r="R23" s="108"/>
      <c r="S23" s="108"/>
      <c r="T23" s="108"/>
      <c r="U23" s="108"/>
      <c r="V23" s="108" t="s">
        <v>913</v>
      </c>
      <c r="W23" s="109" t="s">
        <v>962</v>
      </c>
      <c r="X23" s="108" t="s">
        <v>923</v>
      </c>
      <c r="Y23" s="108" t="s">
        <v>916</v>
      </c>
      <c r="Z23" s="108" t="s">
        <v>917</v>
      </c>
      <c r="AA23" s="106" t="str">
        <f ca="1">IF(INDIRECT("Z27")="Clássico","14%",IF(INDIRECT("Z27")="Premium","19%","-"))</f>
        <v>-</v>
      </c>
      <c r="AB23" s="108" t="s">
        <v>918</v>
      </c>
      <c r="AC23" s="108" t="s">
        <v>919</v>
      </c>
      <c r="AD23" s="108">
        <v>1</v>
      </c>
      <c r="AE23" s="108" t="s">
        <v>920</v>
      </c>
      <c r="AF23" s="110" t="s">
        <v>921</v>
      </c>
      <c r="AG23" s="106" t="s">
        <v>34</v>
      </c>
    </row>
    <row r="24" spans="1:33" ht="50.05" customHeight="1" x14ac:dyDescent="0.3">
      <c r="A24" s="106" t="s">
        <v>543</v>
      </c>
      <c r="B24" s="106" t="s">
        <v>544</v>
      </c>
      <c r="C24" s="106" t="s">
        <v>545</v>
      </c>
      <c r="D24" s="106"/>
      <c r="E24" s="107" t="s">
        <v>546</v>
      </c>
      <c r="F24" s="106" t="s">
        <v>549</v>
      </c>
      <c r="G24" s="106" t="s">
        <v>963</v>
      </c>
      <c r="H24" s="108">
        <v>7</v>
      </c>
      <c r="I24" s="106" t="s">
        <v>911</v>
      </c>
      <c r="J24" s="108">
        <v>259.89999999999998</v>
      </c>
      <c r="K24" s="108" t="s">
        <v>912</v>
      </c>
      <c r="L24" s="108"/>
      <c r="M24" s="108"/>
      <c r="N24" s="108"/>
      <c r="O24" s="108"/>
      <c r="P24" s="108"/>
      <c r="Q24" s="108"/>
      <c r="R24" s="108"/>
      <c r="S24" s="108"/>
      <c r="T24" s="108"/>
      <c r="U24" s="108"/>
      <c r="V24" s="108" t="s">
        <v>913</v>
      </c>
      <c r="W24" s="109" t="s">
        <v>99</v>
      </c>
      <c r="X24" s="108" t="s">
        <v>915</v>
      </c>
      <c r="Y24" s="108" t="s">
        <v>916</v>
      </c>
      <c r="Z24" s="108" t="s">
        <v>917</v>
      </c>
      <c r="AA24" s="106" t="str">
        <f ca="1">IF(INDIRECT("Z28")="Clássico","11%",IF(INDIRECT("Z28")="Premium","16%","-"))</f>
        <v>-</v>
      </c>
      <c r="AB24" s="108" t="s">
        <v>918</v>
      </c>
      <c r="AC24" s="108" t="s">
        <v>919</v>
      </c>
      <c r="AD24" s="108">
        <v>30</v>
      </c>
      <c r="AE24" s="108" t="s">
        <v>927</v>
      </c>
      <c r="AF24" s="110" t="s">
        <v>921</v>
      </c>
      <c r="AG24" s="106" t="s">
        <v>29</v>
      </c>
    </row>
    <row r="25" spans="1:33" ht="50.05" customHeight="1" x14ac:dyDescent="0.3">
      <c r="A25" s="106" t="s">
        <v>494</v>
      </c>
      <c r="B25" s="106" t="s">
        <v>495</v>
      </c>
      <c r="C25" s="106" t="s">
        <v>496</v>
      </c>
      <c r="D25" s="106"/>
      <c r="E25" s="107" t="s">
        <v>497</v>
      </c>
      <c r="F25" s="107" t="s">
        <v>500</v>
      </c>
      <c r="G25" s="106" t="s">
        <v>950</v>
      </c>
      <c r="H25" s="108">
        <v>6</v>
      </c>
      <c r="I25" s="106" t="s">
        <v>911</v>
      </c>
      <c r="J25" s="108">
        <v>136</v>
      </c>
      <c r="K25" s="108" t="s">
        <v>912</v>
      </c>
      <c r="L25" s="108"/>
      <c r="M25" s="108"/>
      <c r="N25" s="108"/>
      <c r="O25" s="108"/>
      <c r="P25" s="108"/>
      <c r="Q25" s="108"/>
      <c r="R25" s="108"/>
      <c r="S25" s="108"/>
      <c r="T25" s="108"/>
      <c r="U25" s="108"/>
      <c r="V25" s="108" t="s">
        <v>913</v>
      </c>
      <c r="W25" s="109" t="s">
        <v>99</v>
      </c>
      <c r="X25" s="108" t="s">
        <v>915</v>
      </c>
      <c r="Y25" s="108" t="s">
        <v>916</v>
      </c>
      <c r="Z25" s="108" t="s">
        <v>917</v>
      </c>
      <c r="AA25" s="106" t="str">
        <f ca="1">IF(INDIRECT("Z29")="Clássico","11%",IF(INDIRECT("Z29")="Premium","16%","-"))</f>
        <v>-</v>
      </c>
      <c r="AB25" s="108" t="s">
        <v>918</v>
      </c>
      <c r="AC25" s="108" t="s">
        <v>919</v>
      </c>
      <c r="AD25" s="108">
        <v>30</v>
      </c>
      <c r="AE25" s="108" t="s">
        <v>927</v>
      </c>
      <c r="AF25" s="110" t="s">
        <v>921</v>
      </c>
      <c r="AG25" s="106" t="s">
        <v>935</v>
      </c>
    </row>
    <row r="26" spans="1:33" ht="50.05" customHeight="1" x14ac:dyDescent="0.3">
      <c r="A26" s="106" t="s">
        <v>722</v>
      </c>
      <c r="B26" s="106" t="s">
        <v>723</v>
      </c>
      <c r="C26" s="106" t="s">
        <v>724</v>
      </c>
      <c r="D26" s="106"/>
      <c r="E26" s="107" t="s">
        <v>725</v>
      </c>
      <c r="F26" s="107" t="s">
        <v>728</v>
      </c>
      <c r="G26" s="106" t="s">
        <v>964</v>
      </c>
      <c r="H26" s="108">
        <v>1</v>
      </c>
      <c r="I26" s="106" t="s">
        <v>911</v>
      </c>
      <c r="J26" s="108">
        <v>78.900000000000006</v>
      </c>
      <c r="K26" s="108" t="s">
        <v>912</v>
      </c>
      <c r="L26" s="108"/>
      <c r="M26" s="108"/>
      <c r="N26" s="108"/>
      <c r="O26" s="108"/>
      <c r="P26" s="108"/>
      <c r="Q26" s="108"/>
      <c r="R26" s="108"/>
      <c r="S26" s="108"/>
      <c r="T26" s="108"/>
      <c r="U26" s="108"/>
      <c r="V26" s="108" t="s">
        <v>913</v>
      </c>
      <c r="W26" s="109" t="s">
        <v>962</v>
      </c>
      <c r="X26" s="108" t="s">
        <v>923</v>
      </c>
      <c r="Y26" s="108" t="s">
        <v>916</v>
      </c>
      <c r="Z26" s="108" t="s">
        <v>917</v>
      </c>
      <c r="AA26" s="106" t="str">
        <f ca="1">IF(INDIRECT("Z30")="Clássico","14%",IF(INDIRECT("Z30")="Premium","19%","-"))</f>
        <v>-</v>
      </c>
      <c r="AB26" s="108" t="s">
        <v>918</v>
      </c>
      <c r="AC26" s="108" t="s">
        <v>919</v>
      </c>
      <c r="AD26" s="108">
        <v>1</v>
      </c>
      <c r="AE26" s="108" t="s">
        <v>920</v>
      </c>
      <c r="AF26" s="110" t="s">
        <v>921</v>
      </c>
      <c r="AG26" s="106" t="s">
        <v>34</v>
      </c>
    </row>
  </sheetData>
  <conditionalFormatting sqref="K2:K26">
    <cfRule type="cellIs" priority="1" operator="equal">
      <formula>"R$"</formula>
    </cfRule>
  </conditionalFormatting>
  <conditionalFormatting sqref="V2:V3">
    <cfRule type="cellIs" priority="2" operator="equal">
      <formula>"Novo"</formula>
    </cfRule>
  </conditionalFormatting>
  <conditionalFormatting sqref="V7:V8">
    <cfRule type="cellIs" priority="14" operator="equal">
      <formula>"Novo"</formula>
    </cfRule>
  </conditionalFormatting>
  <conditionalFormatting sqref="V10">
    <cfRule type="cellIs" priority="20" operator="equal">
      <formula>"Novo"</formula>
    </cfRule>
  </conditionalFormatting>
  <conditionalFormatting sqref="V13:V17">
    <cfRule type="cellIs" priority="23" operator="equal">
      <formula>"Novo"</formula>
    </cfRule>
  </conditionalFormatting>
  <conditionalFormatting sqref="V19:V21">
    <cfRule type="cellIs" priority="29" operator="equal">
      <formula>"Novo"</formula>
    </cfRule>
  </conditionalFormatting>
  <conditionalFormatting sqref="V23:V26">
    <cfRule type="cellIs" priority="34" operator="equal">
      <formula>"Novo"</formula>
    </cfRule>
  </conditionalFormatting>
  <conditionalFormatting sqref="X2:X3">
    <cfRule type="cellIs" priority="3" operator="equal">
      <formula>"Mercado Envios grátis"</formula>
    </cfRule>
  </conditionalFormatting>
  <conditionalFormatting sqref="X4:X5">
    <cfRule type="cellIs" priority="9" operator="equal">
      <formula>"Mercado Envios por conta do comprador"</formula>
    </cfRule>
  </conditionalFormatting>
  <conditionalFormatting sqref="X6">
    <cfRule type="cellIs" priority="11" operator="equal">
      <formula>"Mercado Envios grátis"</formula>
    </cfRule>
  </conditionalFormatting>
  <conditionalFormatting sqref="X7:X8">
    <cfRule type="cellIs" priority="15" operator="equal">
      <formula>"Mercado Envios por conta do comprador"</formula>
    </cfRule>
  </conditionalFormatting>
  <conditionalFormatting sqref="X9">
    <cfRule type="cellIs" priority="18" operator="equal">
      <formula>"Mercado Envios grátis"</formula>
    </cfRule>
  </conditionalFormatting>
  <conditionalFormatting sqref="X10:X16">
    <cfRule type="cellIs" priority="21" operator="equal">
      <formula>"Mercado Envios por conta do comprador"</formula>
    </cfRule>
  </conditionalFormatting>
  <conditionalFormatting sqref="X17">
    <cfRule type="cellIs" priority="25" operator="equal">
      <formula>"Mercado Envios grátis"</formula>
    </cfRule>
  </conditionalFormatting>
  <conditionalFormatting sqref="X18:X19">
    <cfRule type="cellIs" priority="27" operator="equal">
      <formula>"Mercado Envios por conta do comprador"</formula>
    </cfRule>
  </conditionalFormatting>
  <conditionalFormatting sqref="X20:X21">
    <cfRule type="cellIs" priority="31" operator="equal">
      <formula>"Mercado Envios grátis"</formula>
    </cfRule>
  </conditionalFormatting>
  <conditionalFormatting sqref="X22:X23">
    <cfRule type="cellIs" priority="33" operator="equal">
      <formula>"Mercado Envios por conta do comprador"</formula>
    </cfRule>
  </conditionalFormatting>
  <conditionalFormatting sqref="X24:X25">
    <cfRule type="cellIs" priority="37" operator="equal">
      <formula>"Mercado Envios grátis"</formula>
    </cfRule>
  </conditionalFormatting>
  <conditionalFormatting sqref="X26">
    <cfRule type="cellIs" priority="39" operator="equal">
      <formula>"Mercado Envios por conta do comprador"</formula>
    </cfRule>
  </conditionalFormatting>
  <conditionalFormatting sqref="Y2">
    <cfRule type="cellIs" priority="4" operator="equal">
      <formula>"Não aceito"</formula>
    </cfRule>
  </conditionalFormatting>
  <conditionalFormatting sqref="Y4">
    <cfRule type="cellIs" priority="10" operator="equal">
      <formula>"Não aceito"</formula>
    </cfRule>
  </conditionalFormatting>
  <conditionalFormatting sqref="Y6">
    <cfRule type="cellIs" priority="12" operator="equal">
      <formula>"Não aceito"</formula>
    </cfRule>
  </conditionalFormatting>
  <conditionalFormatting sqref="Y8:Y10">
    <cfRule type="cellIs" priority="16" operator="equal">
      <formula>"Não aceito"</formula>
    </cfRule>
  </conditionalFormatting>
  <conditionalFormatting sqref="Y13:Y16">
    <cfRule type="cellIs" priority="24" operator="equal">
      <formula>"Não aceito"</formula>
    </cfRule>
  </conditionalFormatting>
  <conditionalFormatting sqref="Y19:Y21">
    <cfRule type="cellIs" priority="30" operator="equal">
      <formula>"Não aceito"</formula>
    </cfRule>
  </conditionalFormatting>
  <conditionalFormatting sqref="Y23:Y26">
    <cfRule type="cellIs" priority="35" operator="equal">
      <formula>"Não aceito"</formula>
    </cfRule>
  </conditionalFormatting>
  <conditionalFormatting sqref="Z2:Z26">
    <cfRule type="cellIs" priority="5" operator="equal">
      <formula>"Clássico"</formula>
    </cfRule>
  </conditionalFormatting>
  <conditionalFormatting sqref="AB2:AB26">
    <cfRule type="cellIs" priority="6" operator="equal">
      <formula>"Ativo"</formula>
    </cfRule>
  </conditionalFormatting>
  <conditionalFormatting sqref="AC2:AC26">
    <cfRule type="cellIs" priority="7" operator="equal">
      <formula>"Garantia do vendedor"</formula>
    </cfRule>
  </conditionalFormatting>
  <conditionalFormatting sqref="AE2:AE5">
    <cfRule type="cellIs" priority="8" operator="equal">
      <formula>"meses"</formula>
    </cfRule>
  </conditionalFormatting>
  <conditionalFormatting sqref="AE6:AE7">
    <cfRule type="cellIs" priority="13" operator="equal">
      <formula>"dias"</formula>
    </cfRule>
  </conditionalFormatting>
  <conditionalFormatting sqref="AE8">
    <cfRule type="cellIs" priority="17" operator="equal">
      <formula>"meses"</formula>
    </cfRule>
  </conditionalFormatting>
  <conditionalFormatting sqref="AE9">
    <cfRule type="cellIs" priority="19" operator="equal">
      <formula>"dias"</formula>
    </cfRule>
  </conditionalFormatting>
  <conditionalFormatting sqref="AE10:AE16">
    <cfRule type="cellIs" priority="22" operator="equal">
      <formula>"meses"</formula>
    </cfRule>
  </conditionalFormatting>
  <conditionalFormatting sqref="AE17">
    <cfRule type="cellIs" priority="26" operator="equal">
      <formula>"dias"</formula>
    </cfRule>
  </conditionalFormatting>
  <conditionalFormatting sqref="AE18:AE19">
    <cfRule type="cellIs" priority="28" operator="equal">
      <formula>"meses"</formula>
    </cfRule>
  </conditionalFormatting>
  <conditionalFormatting sqref="AE20:AE22">
    <cfRule type="cellIs" priority="32" operator="equal">
      <formula>"dias"</formula>
    </cfRule>
  </conditionalFormatting>
  <conditionalFormatting sqref="AE23">
    <cfRule type="cellIs" priority="36" operator="equal">
      <formula>"meses"</formula>
    </cfRule>
  </conditionalFormatting>
  <conditionalFormatting sqref="AE24:AE25">
    <cfRule type="cellIs" priority="38" operator="equal">
      <formula>"dias"</formula>
    </cfRule>
  </conditionalFormatting>
  <conditionalFormatting sqref="AE26">
    <cfRule type="cellIs" priority="40" operator="equal">
      <formula>"meses"</formula>
    </cfRule>
  </conditionalFormatting>
  <dataValidations count="12">
    <dataValidation type="list" allowBlank="1" showInputMessage="1" showErrorMessage="1" sqref="V16" xr:uid="{54A4186F-6474-47BD-90FF-EABDD431C4D6}">
      <formula1>"Usado,Novo,Recondicionado"</formula1>
    </dataValidation>
    <dataValidation type="list" allowBlank="1" showInputMessage="1" showErrorMessage="1" sqref="V15 V24:V25 V20:V21" xr:uid="{A7442561-87D4-44B6-B1FA-C8E841709A84}">
      <formula1>"Novo,Usado,Recondicionado"</formula1>
    </dataValidation>
    <dataValidation type="list" allowBlank="1" showInputMessage="1" showErrorMessage="1" sqref="V8 V26 V23 V19 V17 V13 V10" xr:uid="{DD0E06CD-4246-4B44-8035-59B02B6D5B91}">
      <formula1>"Novo,Usado"</formula1>
    </dataValidation>
    <dataValidation type="list" allowBlank="1" showInputMessage="1" showErrorMessage="1" sqref="V3 V14 V7" xr:uid="{34555731-1516-4B58-92C7-54D17CF329AE}">
      <formula1>"Usado,Novo"</formula1>
    </dataValidation>
    <dataValidation type="list" allowBlank="1" showInputMessage="1" showErrorMessage="1" sqref="AE2:AE26" xr:uid="{8A473A47-75BB-4099-8E14-A637A756663F}">
      <formula1>"dias,meses,anos"</formula1>
    </dataValidation>
    <dataValidation type="list" allowBlank="1" showInputMessage="1" showErrorMessage="1" sqref="AC2:AC26" xr:uid="{66E4212E-B575-44D2-85D9-E3BBE8533516}">
      <formula1>"Garantia do vendedor,Garantia de fábrica,Sem garantia"</formula1>
    </dataValidation>
    <dataValidation type="list" allowBlank="1" showInputMessage="1" showErrorMessage="1" sqref="AB2:AB26" xr:uid="{06575D59-9877-4ED3-BC58-0A6AA518790D}">
      <formula1>"Ativo,Inativo"</formula1>
    </dataValidation>
    <dataValidation type="list" allowBlank="1" showInputMessage="1" showErrorMessage="1" sqref="Z2:Z26" xr:uid="{9B1BCB65-FF6C-49D9-9F00-02E111C22FA0}">
      <formula1>"Clássico,Premium"</formula1>
    </dataValidation>
    <dataValidation type="list" allowBlank="1" showInputMessage="1" showErrorMessage="1" sqref="Y2 Y23:Y26 Y19:Y21 Y13:Y16 Y8:Y10 Y6 Y4" xr:uid="{1EB8059E-5980-450D-BE79-7ADF292B1B50}">
      <formula1>"Aceita,Não aceito"</formula1>
    </dataValidation>
    <dataValidation type="list" allowBlank="1" showInputMessage="1" showErrorMessage="1" sqref="X2:X26" xr:uid="{927EAC5D-80CB-4A9F-A1A0-FD406F96DBA3}">
      <formula1>"Mercado Envios por conta do comprador,Mercado Envios grátis"</formula1>
    </dataValidation>
    <dataValidation type="list" allowBlank="1" showInputMessage="1" showErrorMessage="1" sqref="V2" xr:uid="{D6F82CFD-159F-4919-963F-0FD5D2ACF06E}">
      <formula1>"Novo,Recondicionado"</formula1>
    </dataValidation>
    <dataValidation type="list" allowBlank="1" showInputMessage="1" showErrorMessage="1" sqref="K2:K26" xr:uid="{0C155ED5-7542-484B-AB44-70B83E3F8689}">
      <formula1>"R$"</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17</vt:i4>
      </vt:variant>
    </vt:vector>
  </HeadingPairs>
  <TitlesOfParts>
    <vt:vector size="17" baseType="lpstr">
      <vt:lpstr>Ajuda</vt:lpstr>
      <vt:lpstr>Shorts e bermudas</vt:lpstr>
      <vt:lpstr>Veiculos em miniatura</vt:lpstr>
      <vt:lpstr>Animais e bolas pula pula</vt:lpstr>
      <vt:lpstr>Veiculos de brinquedo sem co...</vt:lpstr>
      <vt:lpstr>Churrasqueiras eletricas</vt:lpstr>
      <vt:lpstr>Ventiladores</vt:lpstr>
      <vt:lpstr>Lanternas</vt:lpstr>
      <vt:lpstr>Pipoqueiras eletricas</vt:lpstr>
      <vt:lpstr>Pop its</vt:lpstr>
      <vt:lpstr>Baterias musicais de brinquedo</vt:lpstr>
      <vt:lpstr>Camisetas</vt:lpstr>
      <vt:lpstr>Varais</vt:lpstr>
      <vt:lpstr>Marmitas eletricas</vt:lpstr>
      <vt:lpstr>Shorts y bermudas esportivas</vt:lpstr>
      <vt:lpstr>Aspiradores e limpadores a v...</vt:lpstr>
      <vt:lpstr>Produtos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Cardoso, Gabriela de Brito</cp:lastModifiedBy>
  <dcterms:created xsi:type="dcterms:W3CDTF">2026-04-11T17:50:06Z</dcterms:created>
  <dcterms:modified xsi:type="dcterms:W3CDTF">2026-04-11T17:50:06Z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2026-04-11T17:49:46Z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1796dcca-4f9c-4056-a8ab-8ce18b38bd8c</vt:lpwstr>
  </property>
  <property fmtid="{D5CDD505-2E9C-101B-9397-08002B2CF9AE}" pid="8" name="MSIP_Label_19e68092-05df-4271-8e3e-b2a4c82ba797_ContentBits">
    <vt:lpwstr>0</vt:lpwstr>
  </property>
  <property fmtid="{D5CDD505-2E9C-101B-9397-08002B2CF9AE}" pid="9" name="MSIP_Label_19e68092-05df-4271-8e3e-b2a4c82ba797_Tag">
    <vt:lpwstr>10, 3, 0, 1</vt:lpwstr>
  </property>
</Properties>
</file>